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ta" sheetId="1" r:id="rId5"/>
    <sheet state="visible" name="data" sheetId="2" r:id="rId6"/>
    <sheet state="visible" name="prod" sheetId="3" r:id="rId7"/>
    <sheet state="visible" name="Feuille 1" sheetId="4" r:id="rId8"/>
  </sheets>
  <definedNames>
    <definedName hidden="1" localSheetId="0" name="_xlnm._FilterDatabase">renta!$A$1:$K$30</definedName>
    <definedName hidden="1" localSheetId="1" name="_xlnm._FilterDatabase">data!$A$1:$AJ$51</definedName>
  </definedNames>
  <calcPr/>
</workbook>
</file>

<file path=xl/sharedStrings.xml><?xml version="1.0" encoding="utf-8"?>
<sst xmlns="http://schemas.openxmlformats.org/spreadsheetml/2006/main" count="5513" uniqueCount="2658">
  <si>
    <t>Ressource</t>
  </si>
  <si>
    <t>-</t>
  </si>
  <si>
    <t>index</t>
  </si>
  <si>
    <t xml:space="preserve">rapport </t>
  </si>
  <si>
    <t>min/item</t>
  </si>
  <si>
    <t>prix man</t>
  </si>
  <si>
    <t>prix atuo</t>
  </si>
  <si>
    <t>coin/earth</t>
  </si>
  <si>
    <t>coin/precédent</t>
  </si>
  <si>
    <t>gain de l'usine
coin/h</t>
  </si>
  <si>
    <t>gain/kpow</t>
  </si>
  <si>
    <t>pool</t>
  </si>
  <si>
    <t>EARTH</t>
  </si>
  <si>
    <t>0xc356cd52364541379ad4d31a889b7031e758220a</t>
  </si>
  <si>
    <t>WATER</t>
  </si>
  <si>
    <t>0xe9c0995144a199241a5c46ccb7e7cd439af3ac75</t>
  </si>
  <si>
    <t>FIRE</t>
  </si>
  <si>
    <t>0xe973dc221bb031010ec673105ed8b04c9e713b9d</t>
  </si>
  <si>
    <t>MUD</t>
  </si>
  <si>
    <t>MUD_17</t>
  </si>
  <si>
    <t>0xb287ea5a5cd4f2b74571e30fdec96241aa5163d9</t>
  </si>
  <si>
    <t>CLAY</t>
  </si>
  <si>
    <t>CLAY_16</t>
  </si>
  <si>
    <t>0x8b1a1b7b43a53904b0a05406c13399079e553501</t>
  </si>
  <si>
    <t>SAND</t>
  </si>
  <si>
    <t>SAND_11</t>
  </si>
  <si>
    <t>0x6d8839a585f7877a5e218a217c07334980f04a4a</t>
  </si>
  <si>
    <t>COPPER</t>
  </si>
  <si>
    <t>COPPER_6</t>
  </si>
  <si>
    <t>0xe9e419dbe8e0e056bb91989eb10f5fa62a0cb702</t>
  </si>
  <si>
    <t>STEEL</t>
  </si>
  <si>
    <t>STEEL_8</t>
  </si>
  <si>
    <t>screen1</t>
  </si>
  <si>
    <t>0x70c063f17dacb35e4b3df06c8f36020416a44a3c</t>
  </si>
  <si>
    <t>SCREWS</t>
  </si>
  <si>
    <t>SCREWS_7</t>
  </si>
  <si>
    <t>0x0016c4c602cc1a96a9d35fe133a7e374d3cdc26d</t>
  </si>
  <si>
    <t>SEAWATER</t>
  </si>
  <si>
    <t>SEAWATER_30</t>
  </si>
  <si>
    <t>middle</t>
  </si>
  <si>
    <t>0xd1d6bb059c97295f7437ad423111047cbcddf4c6</t>
  </si>
  <si>
    <t>ALGAE</t>
  </si>
  <si>
    <t>ALGAE_20</t>
  </si>
  <si>
    <t>water</t>
  </si>
  <si>
    <t>0xe63f8cefea9a17a259bb3b375929bd10d5e1cdfa</t>
  </si>
  <si>
    <t>OXYGEN</t>
  </si>
  <si>
    <t>OXYGEN_20</t>
  </si>
  <si>
    <t>0x4343846ebe54dcd40ba572275640230d533296e5</t>
  </si>
  <si>
    <t>GAS</t>
  </si>
  <si>
    <t>GAS_15</t>
  </si>
  <si>
    <t>Lava</t>
  </si>
  <si>
    <t>0x4782e36bbe6e9abca5357d3e43a090fa772de71b</t>
  </si>
  <si>
    <t>FUEL</t>
  </si>
  <si>
    <t>FUEL_15</t>
  </si>
  <si>
    <t>0x0f8f4dcf1b6eb9f5c0e8fbb9cd6879aa3983c8bc</t>
  </si>
  <si>
    <t>OIL</t>
  </si>
  <si>
    <t>0x6f363e6760876a4c66730fbbefccdd3014b6220c</t>
  </si>
  <si>
    <t>HEAT</t>
  </si>
  <si>
    <t>HEAT_29</t>
  </si>
  <si>
    <t xml:space="preserve">all </t>
  </si>
  <si>
    <t>gain / 12h</t>
  </si>
  <si>
    <t>0x6ccd01c951e57d82be8dccb90c01a58bfb4d83cd</t>
  </si>
  <si>
    <t>LAVA</t>
  </si>
  <si>
    <t>LAVA_19</t>
  </si>
  <si>
    <t>0x54ae64826ca9d440ede8c33e6cf4cfa1a3aa5801</t>
  </si>
  <si>
    <t>GLASS</t>
  </si>
  <si>
    <t>GLASS_5</t>
  </si>
  <si>
    <t>0x7aa1cc00ca62982ab10d12fd4f6b6687f33011ad</t>
  </si>
  <si>
    <t>SULFUR</t>
  </si>
  <si>
    <t>SULFUR_2</t>
  </si>
  <si>
    <t xml:space="preserve">next step </t>
  </si>
  <si>
    <t>0x346e30b7ca273fb001eec84fabf2b693617df710</t>
  </si>
  <si>
    <t>FIBERGLASS</t>
  </si>
  <si>
    <t>FIBERGLASS_2</t>
  </si>
  <si>
    <t>0x0ffb7bd0bc009a01f9f9e95a0f563bad2189f151</t>
  </si>
  <si>
    <t>CERAMICS</t>
  </si>
  <si>
    <t>CERAMICS_10</t>
  </si>
  <si>
    <t>0xfa3a564b27deb29781f80032df662a4406eebef6</t>
  </si>
  <si>
    <t>STONE</t>
  </si>
  <si>
    <t>STONE_6</t>
  </si>
  <si>
    <t>0xda4145a4975b1219e85a233673187309c4840044</t>
  </si>
  <si>
    <t>STEAM</t>
  </si>
  <si>
    <t>STEAM_1</t>
  </si>
  <si>
    <t>0x7bf03c63adfded079adbd9f807ccce0fd28b8fd8</t>
  </si>
  <si>
    <t>CEMENT</t>
  </si>
  <si>
    <t>CEMENT_6</t>
  </si>
  <si>
    <t>0x491a412400840651c243acfc1ed9947ffe8a4e8f</t>
  </si>
  <si>
    <t>ACID</t>
  </si>
  <si>
    <t>ACID_4</t>
  </si>
  <si>
    <t>0xefc128c4cb990a5ecc88ff71e9efcc0eaef434d2</t>
  </si>
  <si>
    <t>PLASTICS</t>
  </si>
  <si>
    <t>PLASTICS_4</t>
  </si>
  <si>
    <t>0x0ab775634107063a7c16c6c8e0fd6bda1f219ae6</t>
  </si>
  <si>
    <t>ENERGY</t>
  </si>
  <si>
    <t>ENERGY_5</t>
  </si>
  <si>
    <t>0xb0a3c31aae83526fd6ee75aac552822d676f46b2</t>
  </si>
  <si>
    <t>HYDROGEN</t>
  </si>
  <si>
    <t>HYDROGEN_5</t>
  </si>
  <si>
    <t>0xbb155716cd99d7ef8fd3fb45c91d39958c95b088</t>
  </si>
  <si>
    <t>DYNAMITE</t>
  </si>
  <si>
    <t>DYNAMITE_5</t>
  </si>
  <si>
    <t>0x85172e7ff5040366fa5a3caf7b1bd969bb06b570</t>
  </si>
  <si>
    <t>ID</t>
  </si>
  <si>
    <t>OUTPUT</t>
  </si>
  <si>
    <t>DURATION</t>
  </si>
  <si>
    <t>gain coin/item</t>
  </si>
  <si>
    <t>coin/h</t>
  </si>
  <si>
    <t>INPUT 1 SYMBOL</t>
  </si>
  <si>
    <t>input1</t>
  </si>
  <si>
    <t>INPUT 1 AMOUNT</t>
  </si>
  <si>
    <t>INPUT 2 SYMBOL</t>
  </si>
  <si>
    <t>input 2</t>
  </si>
  <si>
    <t>INPUT 2 AMOUNT</t>
  </si>
  <si>
    <t>YIELD</t>
  </si>
  <si>
    <t>BATTERY COST</t>
  </si>
  <si>
    <t>XP PER OUTPUT</t>
  </si>
  <si>
    <t>COST SYMBOL</t>
  </si>
  <si>
    <t>COST AMOUNT</t>
  </si>
  <si>
    <t>cost update</t>
  </si>
  <si>
    <t xml:space="preserve">sum </t>
  </si>
  <si>
    <t>amélior coin/h/kcoin</t>
  </si>
  <si>
    <t>k power</t>
  </si>
  <si>
    <t>coin/kpower</t>
  </si>
  <si>
    <t>amélio coin/kpower</t>
  </si>
  <si>
    <t>OUTPUT CHANGE</t>
  </si>
  <si>
    <t>DURATION CHANGE</t>
  </si>
  <si>
    <t>PRODUCTION CHANGE</t>
  </si>
  <si>
    <t>INPUT 1 CONSUMPTION PER DAY</t>
  </si>
  <si>
    <t>INPUT 1 PRODUCTION PER DAY AT SAME VALUE</t>
  </si>
  <si>
    <t>INPUT 2 CONSUMPTION PER DAY</t>
  </si>
  <si>
    <t>INPUT 2 PRODUCTION PER DAY AT SAME VALUE</t>
  </si>
  <si>
    <t>OUTPUT PER BATTERY</t>
  </si>
  <si>
    <t>XP PER DAY</t>
  </si>
  <si>
    <t>XP PER BATTERY</t>
  </si>
  <si>
    <t>bonus</t>
  </si>
  <si>
    <t>MUD_1</t>
  </si>
  <si>
    <t>3,00</t>
  </si>
  <si>
    <t>100.00%</t>
  </si>
  <si>
    <t>0</t>
  </si>
  <si>
    <t>25920</t>
  </si>
  <si>
    <t>28,800.00</t>
  </si>
  <si>
    <t>1.00</t>
  </si>
  <si>
    <t>8,640.00</t>
  </si>
  <si>
    <t>MUD_2</t>
  </si>
  <si>
    <t>6,00</t>
  </si>
  <si>
    <t>51,840.00</t>
  </si>
  <si>
    <t>57,600.00</t>
  </si>
  <si>
    <t>2.00</t>
  </si>
  <si>
    <t>17,280.00</t>
  </si>
  <si>
    <t>MUD_3</t>
  </si>
  <si>
    <t>12,00</t>
  </si>
  <si>
    <t>47.22%</t>
  </si>
  <si>
    <t>76,320.00</t>
  </si>
  <si>
    <t>86,400.00</t>
  </si>
  <si>
    <t>4.00</t>
  </si>
  <si>
    <t>25,440.00</t>
  </si>
  <si>
    <t>MUD_4</t>
  </si>
  <si>
    <t>42,00</t>
  </si>
  <si>
    <t>30.19%</t>
  </si>
  <si>
    <t>99,360.00</t>
  </si>
  <si>
    <t>129,600.00</t>
  </si>
  <si>
    <t>7.00</t>
  </si>
  <si>
    <t>33,120.00</t>
  </si>
  <si>
    <t>MUD_5</t>
  </si>
  <si>
    <t>84,00</t>
  </si>
  <si>
    <t>21.74%</t>
  </si>
  <si>
    <t>120,960.00</t>
  </si>
  <si>
    <t>216,000.00</t>
  </si>
  <si>
    <t>40,320.00</t>
  </si>
  <si>
    <t>MUD_6</t>
  </si>
  <si>
    <t>195,00</t>
  </si>
  <si>
    <t>16.07%</t>
  </si>
  <si>
    <t>140,400.00</t>
  </si>
  <si>
    <t>264,000.00</t>
  </si>
  <si>
    <t>6.50</t>
  </si>
  <si>
    <t>46,800.00</t>
  </si>
  <si>
    <t>MUD_7</t>
  </si>
  <si>
    <t>555,00</t>
  </si>
  <si>
    <t>13.85%</t>
  </si>
  <si>
    <t>159,840.00</t>
  </si>
  <si>
    <t>6.85</t>
  </si>
  <si>
    <t>53,280.00</t>
  </si>
  <si>
    <t>MUD_8</t>
  </si>
  <si>
    <t>1236,00</t>
  </si>
  <si>
    <t>11.26%</t>
  </si>
  <si>
    <t>177,840.00</t>
  </si>
  <si>
    <t>360,000.00</t>
  </si>
  <si>
    <t>6.98</t>
  </si>
  <si>
    <t>59,280.00</t>
  </si>
  <si>
    <t>MUD_9</t>
  </si>
  <si>
    <t>2709,00</t>
  </si>
  <si>
    <t>9.72%</t>
  </si>
  <si>
    <t>195,120.00</t>
  </si>
  <si>
    <t>65,040.00</t>
  </si>
  <si>
    <t>MUD_10</t>
  </si>
  <si>
    <t>4410,00</t>
  </si>
  <si>
    <t>8.49%</t>
  </si>
  <si>
    <t>211,680.00</t>
  </si>
  <si>
    <t>70,560.00</t>
  </si>
  <si>
    <t>MUD_11</t>
  </si>
  <si>
    <t>6321,00</t>
  </si>
  <si>
    <t>7.48%</t>
  </si>
  <si>
    <t>227,520.00</t>
  </si>
  <si>
    <t>75,840.00</t>
  </si>
  <si>
    <t>MUD_12</t>
  </si>
  <si>
    <t>7581,00</t>
  </si>
  <si>
    <t>6.65%</t>
  </si>
  <si>
    <t>242,640.00</t>
  </si>
  <si>
    <t>80,880.00</t>
  </si>
  <si>
    <t>MUD_13</t>
  </si>
  <si>
    <t>8925,00</t>
  </si>
  <si>
    <t>5.93%</t>
  </si>
  <si>
    <t>257,040.00</t>
  </si>
  <si>
    <t>85,680.00</t>
  </si>
  <si>
    <t>MUD_14</t>
  </si>
  <si>
    <t>10152,00</t>
  </si>
  <si>
    <t>5.32%</t>
  </si>
  <si>
    <t>270,720.00</t>
  </si>
  <si>
    <t>6.99</t>
  </si>
  <si>
    <t>90,240.00</t>
  </si>
  <si>
    <t>MUD_15</t>
  </si>
  <si>
    <t>11229,00</t>
  </si>
  <si>
    <t>4.79%</t>
  </si>
  <si>
    <t>283,680.00</t>
  </si>
  <si>
    <t>94,560.00</t>
  </si>
  <si>
    <t>MUD_16</t>
  </si>
  <si>
    <t>12330,00</t>
  </si>
  <si>
    <t>4.31%</t>
  </si>
  <si>
    <t>295,920.00</t>
  </si>
  <si>
    <t>98,640.00</t>
  </si>
  <si>
    <t>13236,00</t>
  </si>
  <si>
    <t>3.89%</t>
  </si>
  <si>
    <t>307,440.00</t>
  </si>
  <si>
    <t>102,480.00</t>
  </si>
  <si>
    <t>MUD_18</t>
  </si>
  <si>
    <t>14142,00</t>
  </si>
  <si>
    <t>3.5%</t>
  </si>
  <si>
    <t>318,195.00</t>
  </si>
  <si>
    <t>106,065.00</t>
  </si>
  <si>
    <t>MUD_19</t>
  </si>
  <si>
    <t>15048,00</t>
  </si>
  <si>
    <t>3.18%</t>
  </si>
  <si>
    <t>328,320.00</t>
  </si>
  <si>
    <t>109,440.00</t>
  </si>
  <si>
    <t>MUD_20</t>
  </si>
  <si>
    <t>15945,00</t>
  </si>
  <si>
    <t>2.85%</t>
  </si>
  <si>
    <t>337,680.00</t>
  </si>
  <si>
    <t>112,560.00</t>
  </si>
  <si>
    <t>MUD_21</t>
  </si>
  <si>
    <t>16833,00</t>
  </si>
  <si>
    <t>2.56%</t>
  </si>
  <si>
    <t>346,320.00</t>
  </si>
  <si>
    <t>115,440.00</t>
  </si>
  <si>
    <t>MUD_22</t>
  </si>
  <si>
    <t>17730,00</t>
  </si>
  <si>
    <t>2.39%</t>
  </si>
  <si>
    <t>354,600.00</t>
  </si>
  <si>
    <t>118,200.00</t>
  </si>
  <si>
    <t>MUD_23</t>
  </si>
  <si>
    <t>18630,00</t>
  </si>
  <si>
    <t>2.23%</t>
  </si>
  <si>
    <t>362,520.00</t>
  </si>
  <si>
    <t>120,840.00</t>
  </si>
  <si>
    <t>MUD_24</t>
  </si>
  <si>
    <t>19533,00</t>
  </si>
  <si>
    <t>2.09%</t>
  </si>
  <si>
    <t>370,080.00</t>
  </si>
  <si>
    <t>123,360.00</t>
  </si>
  <si>
    <t>MUD_25</t>
  </si>
  <si>
    <t>20436,00</t>
  </si>
  <si>
    <t>1.95%</t>
  </si>
  <si>
    <t>377,280.00</t>
  </si>
  <si>
    <t>125,760.00</t>
  </si>
  <si>
    <t>MUD_26</t>
  </si>
  <si>
    <t>21348,00</t>
  </si>
  <si>
    <t>1.85%</t>
  </si>
  <si>
    <t>384,264.00</t>
  </si>
  <si>
    <t>128,088.00</t>
  </si>
  <si>
    <t>MUD_27</t>
  </si>
  <si>
    <t>22266,00</t>
  </si>
  <si>
    <t>1.76%</t>
  </si>
  <si>
    <t>391,032.00</t>
  </si>
  <si>
    <t>130,344.00</t>
  </si>
  <si>
    <t>MUD_28</t>
  </si>
  <si>
    <t>23190,00</t>
  </si>
  <si>
    <t>1.68%</t>
  </si>
  <si>
    <t>397,584.00</t>
  </si>
  <si>
    <t>132,528.00</t>
  </si>
  <si>
    <t>MUD_29</t>
  </si>
  <si>
    <t>24126,00</t>
  </si>
  <si>
    <t>1.61%</t>
  </si>
  <si>
    <t>403,992.00</t>
  </si>
  <si>
    <t>134,664.00</t>
  </si>
  <si>
    <t>MUD_30</t>
  </si>
  <si>
    <t>25071,00</t>
  </si>
  <si>
    <t>1.55%</t>
  </si>
  <si>
    <t>410,256.00</t>
  </si>
  <si>
    <t>136,752.00</t>
  </si>
  <si>
    <t>MUD_31</t>
  </si>
  <si>
    <t>26025,00</t>
  </si>
  <si>
    <t>1.49%</t>
  </si>
  <si>
    <t>416,376.00</t>
  </si>
  <si>
    <t>138,792.00</t>
  </si>
  <si>
    <t>MUD_32</t>
  </si>
  <si>
    <t>26910,00</t>
  </si>
  <si>
    <t>1.44%</t>
  </si>
  <si>
    <t>422,352.00</t>
  </si>
  <si>
    <t>140,784.00</t>
  </si>
  <si>
    <t>MUD_33</t>
  </si>
  <si>
    <t>27804,00</t>
  </si>
  <si>
    <t>1.38%</t>
  </si>
  <si>
    <t>428,184.00</t>
  </si>
  <si>
    <t>142,728.00</t>
  </si>
  <si>
    <t>MUD_34</t>
  </si>
  <si>
    <t>28698,00</t>
  </si>
  <si>
    <t>1.33%</t>
  </si>
  <si>
    <t>433,872.00</t>
  </si>
  <si>
    <t>144,624.00</t>
  </si>
  <si>
    <t>MUD_35</t>
  </si>
  <si>
    <t>29598,00</t>
  </si>
  <si>
    <t>1.28%</t>
  </si>
  <si>
    <t>439,416.00</t>
  </si>
  <si>
    <t>146,472.00</t>
  </si>
  <si>
    <t>MUD_36</t>
  </si>
  <si>
    <t>30504,00</t>
  </si>
  <si>
    <t>1.23%</t>
  </si>
  <si>
    <t>444,816.00</t>
  </si>
  <si>
    <t>148,272.00</t>
  </si>
  <si>
    <t>MUD_37</t>
  </si>
  <si>
    <t>31413,00</t>
  </si>
  <si>
    <t>1.18%</t>
  </si>
  <si>
    <t>450,072.00</t>
  </si>
  <si>
    <t>150,024.00</t>
  </si>
  <si>
    <t>MUD_38</t>
  </si>
  <si>
    <t>32244,00</t>
  </si>
  <si>
    <t>1.14%</t>
  </si>
  <si>
    <t>455,184.00</t>
  </si>
  <si>
    <t>151,728.00</t>
  </si>
  <si>
    <t>MUD_39</t>
  </si>
  <si>
    <t>33078,00</t>
  </si>
  <si>
    <t>1.11%</t>
  </si>
  <si>
    <t>460,224.00</t>
  </si>
  <si>
    <t>153,408.00</t>
  </si>
  <si>
    <t>MUD_40</t>
  </si>
  <si>
    <t>33918,00</t>
  </si>
  <si>
    <t>1.08%</t>
  </si>
  <si>
    <t>465,192.00</t>
  </si>
  <si>
    <t>155,064.00</t>
  </si>
  <si>
    <t>MUD_41</t>
  </si>
  <si>
    <t>34764,00</t>
  </si>
  <si>
    <t>1.05%</t>
  </si>
  <si>
    <t>470,088.00</t>
  </si>
  <si>
    <t>156,696.00</t>
  </si>
  <si>
    <t>MUD_42</t>
  </si>
  <si>
    <t>35616,00</t>
  </si>
  <si>
    <t>1.03%</t>
  </si>
  <si>
    <t>474,912.00</t>
  </si>
  <si>
    <t>158,304.00</t>
  </si>
  <si>
    <t>MUD_43</t>
  </si>
  <si>
    <t>36477,00</t>
  </si>
  <si>
    <t>479,664.00</t>
  </si>
  <si>
    <t>159,888.00</t>
  </si>
  <si>
    <t>MUD_44</t>
  </si>
  <si>
    <t>37332,00</t>
  </si>
  <si>
    <t>0.98%</t>
  </si>
  <si>
    <t>484,344.00</t>
  </si>
  <si>
    <t>161,448.00</t>
  </si>
  <si>
    <t>MUD_45</t>
  </si>
  <si>
    <t>38199,00</t>
  </si>
  <si>
    <t>0.95%</t>
  </si>
  <si>
    <t>488,952.00</t>
  </si>
  <si>
    <t>162,984.00</t>
  </si>
  <si>
    <t>MUD_46</t>
  </si>
  <si>
    <t>39069,00</t>
  </si>
  <si>
    <t>0.93%</t>
  </si>
  <si>
    <t>493,488.00</t>
  </si>
  <si>
    <t>164,496.00</t>
  </si>
  <si>
    <t>MUD_47</t>
  </si>
  <si>
    <t>39942,00</t>
  </si>
  <si>
    <t>0.9%</t>
  </si>
  <si>
    <t>497,952.00</t>
  </si>
  <si>
    <t>165,984.00</t>
  </si>
  <si>
    <t>MUD_48</t>
  </si>
  <si>
    <t>40815,00</t>
  </si>
  <si>
    <t>0.88%</t>
  </si>
  <si>
    <t>502,344.00</t>
  </si>
  <si>
    <t>167,448.00</t>
  </si>
  <si>
    <t>MUD_49</t>
  </si>
  <si>
    <t>41691,00</t>
  </si>
  <si>
    <t>0.85%</t>
  </si>
  <si>
    <t>506,624.81</t>
  </si>
  <si>
    <t>168,874.94</t>
  </si>
  <si>
    <t>MUD_50</t>
  </si>
  <si>
    <t>42576,00</t>
  </si>
  <si>
    <t>510,912.00</t>
  </si>
  <si>
    <t>170,304.00</t>
  </si>
  <si>
    <t>CLAY_1</t>
  </si>
  <si>
    <t>10,00</t>
  </si>
  <si>
    <t>72,000.00</t>
  </si>
  <si>
    <t>CLAY_2</t>
  </si>
  <si>
    <t>20,00</t>
  </si>
  <si>
    <t>144,000.00</t>
  </si>
  <si>
    <t>CLAY_3</t>
  </si>
  <si>
    <t>50,00</t>
  </si>
  <si>
    <t>41.67%</t>
  </si>
  <si>
    <t>81,600.00</t>
  </si>
  <si>
    <t>1.25</t>
  </si>
  <si>
    <t>204,000.00</t>
  </si>
  <si>
    <t>CLAY_4</t>
  </si>
  <si>
    <t>100,00</t>
  </si>
  <si>
    <t>23.53%</t>
  </si>
  <si>
    <t>100,800.00</t>
  </si>
  <si>
    <t>252,000.00</t>
  </si>
  <si>
    <t>CLAY_5</t>
  </si>
  <si>
    <t>400,00</t>
  </si>
  <si>
    <t>14.29%</t>
  </si>
  <si>
    <t>115,200.00</t>
  </si>
  <si>
    <t>288,000.00</t>
  </si>
  <si>
    <t>CLAY_6</t>
  </si>
  <si>
    <t>1000,00</t>
  </si>
  <si>
    <t>11.46%</t>
  </si>
  <si>
    <t>128,400.00</t>
  </si>
  <si>
    <t>321,000.00</t>
  </si>
  <si>
    <t>CLAY_7</t>
  </si>
  <si>
    <t>2000,00</t>
  </si>
  <si>
    <t>9.35%</t>
  </si>
  <si>
    <t>351,000.00</t>
  </si>
  <si>
    <t>CLAY_8</t>
  </si>
  <si>
    <t>3150,00</t>
  </si>
  <si>
    <t>7.69%</t>
  </si>
  <si>
    <t>151,200.00</t>
  </si>
  <si>
    <t>378,000.00</t>
  </si>
  <si>
    <t>CLAY_9</t>
  </si>
  <si>
    <t>4480,00</t>
  </si>
  <si>
    <t>6.67%</t>
  </si>
  <si>
    <t>161,280.00</t>
  </si>
  <si>
    <t>403,200.00</t>
  </si>
  <si>
    <t>CLAY_10</t>
  </si>
  <si>
    <t>6520,00</t>
  </si>
  <si>
    <t>5.8%</t>
  </si>
  <si>
    <t>170,640.00</t>
  </si>
  <si>
    <t>426,600.00</t>
  </si>
  <si>
    <t>CLAY_11</t>
  </si>
  <si>
    <t>8100,00</t>
  </si>
  <si>
    <t>5.06%</t>
  </si>
  <si>
    <t>179,280.00</t>
  </si>
  <si>
    <t>448,200.00</t>
  </si>
  <si>
    <t>CLAY_12</t>
  </si>
  <si>
    <t>9750,00</t>
  </si>
  <si>
    <t>4.42%</t>
  </si>
  <si>
    <t>187,200.00</t>
  </si>
  <si>
    <t>468,000.00</t>
  </si>
  <si>
    <t>CLAY_13</t>
  </si>
  <si>
    <t>11480,00</t>
  </si>
  <si>
    <t>3.85%</t>
  </si>
  <si>
    <t>194,400.00</t>
  </si>
  <si>
    <t>486,000.00</t>
  </si>
  <si>
    <t>CLAY_14</t>
  </si>
  <si>
    <t>13260,00</t>
  </si>
  <si>
    <t>3.46%</t>
  </si>
  <si>
    <t>201,120.00</t>
  </si>
  <si>
    <t>502,800.00</t>
  </si>
  <si>
    <t>CLAY_15</t>
  </si>
  <si>
    <t>15120,00</t>
  </si>
  <si>
    <t>3.1%</t>
  </si>
  <si>
    <t>207,360.00</t>
  </si>
  <si>
    <t>518,400.00</t>
  </si>
  <si>
    <t>17020,00</t>
  </si>
  <si>
    <t>2.78%</t>
  </si>
  <si>
    <t>213,120.00</t>
  </si>
  <si>
    <t>532,800.00</t>
  </si>
  <si>
    <t>CLAY_17</t>
  </si>
  <si>
    <t>18800,00</t>
  </si>
  <si>
    <t>2.48%</t>
  </si>
  <si>
    <t>218,400.00</t>
  </si>
  <si>
    <t>546,000.00</t>
  </si>
  <si>
    <t>CLAY_18</t>
  </si>
  <si>
    <t>20530,00</t>
  </si>
  <si>
    <t>2.2%</t>
  </si>
  <si>
    <t>223,200.00</t>
  </si>
  <si>
    <t>558,000.00</t>
  </si>
  <si>
    <t>CLAY_19</t>
  </si>
  <si>
    <t>22070,00</t>
  </si>
  <si>
    <t>2.04%</t>
  </si>
  <si>
    <t>227,760.00</t>
  </si>
  <si>
    <t>569,400.00</t>
  </si>
  <si>
    <t>CLAY_20</t>
  </si>
  <si>
    <t>23530,00</t>
  </si>
  <si>
    <t>1.9%</t>
  </si>
  <si>
    <t>232,080.00</t>
  </si>
  <si>
    <t>580,200.00</t>
  </si>
  <si>
    <t>CLAY_21</t>
  </si>
  <si>
    <t>25100,00</t>
  </si>
  <si>
    <t>236,160.00</t>
  </si>
  <si>
    <t>590,400.00</t>
  </si>
  <si>
    <t>CLAY_22</t>
  </si>
  <si>
    <t>26600,00</t>
  </si>
  <si>
    <t>1.63%</t>
  </si>
  <si>
    <t>240,000.00</t>
  </si>
  <si>
    <t>600,000.00</t>
  </si>
  <si>
    <t>CLAY_23</t>
  </si>
  <si>
    <t>28000,00</t>
  </si>
  <si>
    <t>1.5%</t>
  </si>
  <si>
    <t>243,600.00</t>
  </si>
  <si>
    <t>609,000.00</t>
  </si>
  <si>
    <t>CLAY_24</t>
  </si>
  <si>
    <t>29400,00</t>
  </si>
  <si>
    <t>1.43%</t>
  </si>
  <si>
    <t>247,080.00</t>
  </si>
  <si>
    <t>617,700.00</t>
  </si>
  <si>
    <t>CLAY_25</t>
  </si>
  <si>
    <t>30750,00</t>
  </si>
  <si>
    <t>1.36%</t>
  </si>
  <si>
    <t>250,440.00</t>
  </si>
  <si>
    <t>626,100.00</t>
  </si>
  <si>
    <t>CLAY_26</t>
  </si>
  <si>
    <t>32050,00</t>
  </si>
  <si>
    <t>1.29%</t>
  </si>
  <si>
    <t>253,680.00</t>
  </si>
  <si>
    <t>634,200.00</t>
  </si>
  <si>
    <t>CLAY_27</t>
  </si>
  <si>
    <t>33350,00</t>
  </si>
  <si>
    <t>256,800.00</t>
  </si>
  <si>
    <t>642,000.00</t>
  </si>
  <si>
    <t>CLAY_28</t>
  </si>
  <si>
    <t>34600,00</t>
  </si>
  <si>
    <t>1.17%</t>
  </si>
  <si>
    <t>259,800.00</t>
  </si>
  <si>
    <t>649,500.00</t>
  </si>
  <si>
    <t>CLAY_29</t>
  </si>
  <si>
    <t>35850,00</t>
  </si>
  <si>
    <t>262,680.00</t>
  </si>
  <si>
    <t>656,700.00</t>
  </si>
  <si>
    <t>CLAY_30</t>
  </si>
  <si>
    <t>37050,00</t>
  </si>
  <si>
    <t>265,440.00</t>
  </si>
  <si>
    <t>663,600.00</t>
  </si>
  <si>
    <t>CLAY_31</t>
  </si>
  <si>
    <t>38200,00</t>
  </si>
  <si>
    <t>0.99%</t>
  </si>
  <si>
    <t>268,080.00</t>
  </si>
  <si>
    <t>670,200.00</t>
  </si>
  <si>
    <t>CLAY_32</t>
  </si>
  <si>
    <t>39350,00</t>
  </si>
  <si>
    <t>0.94%</t>
  </si>
  <si>
    <t>270,600.00</t>
  </si>
  <si>
    <t>676,500.00</t>
  </si>
  <si>
    <t>CLAY_33</t>
  </si>
  <si>
    <t>40500,00</t>
  </si>
  <si>
    <t>0.89%</t>
  </si>
  <si>
    <t>273,000.00</t>
  </si>
  <si>
    <t>682,500.00</t>
  </si>
  <si>
    <t>CLAY_34</t>
  </si>
  <si>
    <t>41600,00</t>
  </si>
  <si>
    <t>0.84%</t>
  </si>
  <si>
    <t>275,280.00</t>
  </si>
  <si>
    <t>688,200.00</t>
  </si>
  <si>
    <t>CLAY_35</t>
  </si>
  <si>
    <t>42650,00</t>
  </si>
  <si>
    <t>0.78%</t>
  </si>
  <si>
    <t>277,440.00</t>
  </si>
  <si>
    <t>693,600.00</t>
  </si>
  <si>
    <t>CLAY_36</t>
  </si>
  <si>
    <t>43700,00</t>
  </si>
  <si>
    <t>0.74%</t>
  </si>
  <si>
    <t>279,480.00</t>
  </si>
  <si>
    <t>698,700.00</t>
  </si>
  <si>
    <t>CLAY_37</t>
  </si>
  <si>
    <t>44750,00</t>
  </si>
  <si>
    <t>0.69%</t>
  </si>
  <si>
    <t>281,400.00</t>
  </si>
  <si>
    <t>703,500.00</t>
  </si>
  <si>
    <t>CLAY_38</t>
  </si>
  <si>
    <t>45750,00</t>
  </si>
  <si>
    <t>0.64%</t>
  </si>
  <si>
    <t>283,200.00</t>
  </si>
  <si>
    <t>708,000.00</t>
  </si>
  <si>
    <t>CLAY_39</t>
  </si>
  <si>
    <t>46750,00</t>
  </si>
  <si>
    <t>0.59%</t>
  </si>
  <si>
    <t>284,880.00</t>
  </si>
  <si>
    <t>712,200.00</t>
  </si>
  <si>
    <t>CLAY_40</t>
  </si>
  <si>
    <t>47750,00</t>
  </si>
  <si>
    <t>0.57%</t>
  </si>
  <si>
    <t>286,507.93</t>
  </si>
  <si>
    <t>716,269.82</t>
  </si>
  <si>
    <t>SAND_1</t>
  </si>
  <si>
    <t>2,160.00</t>
  </si>
  <si>
    <t>2,880.00</t>
  </si>
  <si>
    <t>54,000.00</t>
  </si>
  <si>
    <t>SAND_2</t>
  </si>
  <si>
    <t>4,320.00</t>
  </si>
  <si>
    <t>8,160.00</t>
  </si>
  <si>
    <t>0.25</t>
  </si>
  <si>
    <t>108,000.00</t>
  </si>
  <si>
    <t>SAND_3</t>
  </si>
  <si>
    <t>15,00</t>
  </si>
  <si>
    <t>6,120.00</t>
  </si>
  <si>
    <t>10,080.00</t>
  </si>
  <si>
    <t>153,000.00</t>
  </si>
  <si>
    <t>SAND_4</t>
  </si>
  <si>
    <t>30,00</t>
  </si>
  <si>
    <t>27.06%</t>
  </si>
  <si>
    <t>7,776.00</t>
  </si>
  <si>
    <t>12,840.00</t>
  </si>
  <si>
    <t>SAND_5</t>
  </si>
  <si>
    <t>60,00</t>
  </si>
  <si>
    <t>20.37%</t>
  </si>
  <si>
    <t>9,360.00</t>
  </si>
  <si>
    <t>14,040.00</t>
  </si>
  <si>
    <t>234,000.00</t>
  </si>
  <si>
    <t>SAND_6</t>
  </si>
  <si>
    <t>120,00</t>
  </si>
  <si>
    <t>16.15%</t>
  </si>
  <si>
    <t>10,872.00</t>
  </si>
  <si>
    <t>15,120.00</t>
  </si>
  <si>
    <t>271,800.00</t>
  </si>
  <si>
    <t>SAND_7</t>
  </si>
  <si>
    <t>210,00</t>
  </si>
  <si>
    <t>13.25%</t>
  </si>
  <si>
    <t>12,312.00</t>
  </si>
  <si>
    <t>17,064.00</t>
  </si>
  <si>
    <t>307,800.00</t>
  </si>
  <si>
    <t>SAND_8</t>
  </si>
  <si>
    <t>375,00</t>
  </si>
  <si>
    <t>11.11%</t>
  </si>
  <si>
    <t>13,680.00</t>
  </si>
  <si>
    <t>342,000.00</t>
  </si>
  <si>
    <t>SAND_9</t>
  </si>
  <si>
    <t>675,00</t>
  </si>
  <si>
    <t>9.47%</t>
  </si>
  <si>
    <t>14,976.00</t>
  </si>
  <si>
    <t>17,928.00</t>
  </si>
  <si>
    <t>374,400.00</t>
  </si>
  <si>
    <t>SAND_10</t>
  </si>
  <si>
    <t>1005,00</t>
  </si>
  <si>
    <t>8.17%</t>
  </si>
  <si>
    <t>16,200.00</t>
  </si>
  <si>
    <t>18,720.00</t>
  </si>
  <si>
    <t>0.26</t>
  </si>
  <si>
    <t>405,000.00</t>
  </si>
  <si>
    <t>1365,00</t>
  </si>
  <si>
    <t>7.11%</t>
  </si>
  <si>
    <t>17,352.00</t>
  </si>
  <si>
    <t>20,112.00</t>
  </si>
  <si>
    <t>0.27</t>
  </si>
  <si>
    <t>433,800.00</t>
  </si>
  <si>
    <t>SAND_12</t>
  </si>
  <si>
    <t>1725,00</t>
  </si>
  <si>
    <t>6.22%</t>
  </si>
  <si>
    <t>18,432.00</t>
  </si>
  <si>
    <t>20,736.00</t>
  </si>
  <si>
    <t>0.28</t>
  </si>
  <si>
    <t>460,800.00</t>
  </si>
  <si>
    <t>SAND_13</t>
  </si>
  <si>
    <t>2055,00</t>
  </si>
  <si>
    <t>5.66%</t>
  </si>
  <si>
    <t>19,476.00</t>
  </si>
  <si>
    <t>21,312.00</t>
  </si>
  <si>
    <t>486,900.00</t>
  </si>
  <si>
    <t>SAND_14</t>
  </si>
  <si>
    <t>2400,00</t>
  </si>
  <si>
    <t>5.18%</t>
  </si>
  <si>
    <t>20,484.00</t>
  </si>
  <si>
    <t>21,840.00</t>
  </si>
  <si>
    <t>0.29</t>
  </si>
  <si>
    <t>512,100.00</t>
  </si>
  <si>
    <t>SAND_15</t>
  </si>
  <si>
    <t>2760,00</t>
  </si>
  <si>
    <t>4.75%</t>
  </si>
  <si>
    <t>21,456.00</t>
  </si>
  <si>
    <t>22,320.00</t>
  </si>
  <si>
    <t>0.30</t>
  </si>
  <si>
    <t>536,400.00</t>
  </si>
  <si>
    <t>SAND_16</t>
  </si>
  <si>
    <t>3105,00</t>
  </si>
  <si>
    <t>4.36%</t>
  </si>
  <si>
    <t>22,392.00</t>
  </si>
  <si>
    <t>22,776.00</t>
  </si>
  <si>
    <t>559,800.00</t>
  </si>
  <si>
    <t>SAND_17</t>
  </si>
  <si>
    <t>3450,00</t>
  </si>
  <si>
    <t>4.02%</t>
  </si>
  <si>
    <t>23,292.00</t>
  </si>
  <si>
    <t>23,208.00</t>
  </si>
  <si>
    <t>0.31</t>
  </si>
  <si>
    <t>582,300.00</t>
  </si>
  <si>
    <t>SAND_18</t>
  </si>
  <si>
    <t>3780,00</t>
  </si>
  <si>
    <t>3.79%</t>
  </si>
  <si>
    <t>24,174.00</t>
  </si>
  <si>
    <t>23,616.00</t>
  </si>
  <si>
    <t>0.32</t>
  </si>
  <si>
    <t>604,350.00</t>
  </si>
  <si>
    <t>SAND_19</t>
  </si>
  <si>
    <t>4110,00</t>
  </si>
  <si>
    <t>3.57%</t>
  </si>
  <si>
    <t>25,038.00</t>
  </si>
  <si>
    <t>24,000.00</t>
  </si>
  <si>
    <t>625,950.00</t>
  </si>
  <si>
    <t>SAND_20</t>
  </si>
  <si>
    <t>4440,00</t>
  </si>
  <si>
    <t>3.38%</t>
  </si>
  <si>
    <t>25,884.00</t>
  </si>
  <si>
    <t>24,360.00</t>
  </si>
  <si>
    <t>0.33</t>
  </si>
  <si>
    <t>647,100.00</t>
  </si>
  <si>
    <t>SAND_21</t>
  </si>
  <si>
    <t>4770,00</t>
  </si>
  <si>
    <t>3.2%</t>
  </si>
  <si>
    <t>26,712.00</t>
  </si>
  <si>
    <t>24,708.00</t>
  </si>
  <si>
    <t>667,800.00</t>
  </si>
  <si>
    <t>SAND_22</t>
  </si>
  <si>
    <t>5100,00</t>
  </si>
  <si>
    <t>3.03%</t>
  </si>
  <si>
    <t>27,522.00</t>
  </si>
  <si>
    <t>25,044.00</t>
  </si>
  <si>
    <t>0.34</t>
  </si>
  <si>
    <t>688,050.00</t>
  </si>
  <si>
    <t>SAND_23</t>
  </si>
  <si>
    <t>5430,00</t>
  </si>
  <si>
    <t>2.88%</t>
  </si>
  <si>
    <t>28,314.00</t>
  </si>
  <si>
    <t>25,368.00</t>
  </si>
  <si>
    <t>707,850.00</t>
  </si>
  <si>
    <t>SAND_24</t>
  </si>
  <si>
    <t>5745,00</t>
  </si>
  <si>
    <t>2.73%</t>
  </si>
  <si>
    <t>29,088.00</t>
  </si>
  <si>
    <t>25,680.00</t>
  </si>
  <si>
    <t>0.35</t>
  </si>
  <si>
    <t>727,200.00</t>
  </si>
  <si>
    <t>SAND_25</t>
  </si>
  <si>
    <t>6060,00</t>
  </si>
  <si>
    <t>2.6%</t>
  </si>
  <si>
    <t>29,844.00</t>
  </si>
  <si>
    <t>25,980.00</t>
  </si>
  <si>
    <t>746,100.00</t>
  </si>
  <si>
    <t>SAND_26</t>
  </si>
  <si>
    <t>6390,00</t>
  </si>
  <si>
    <t>2.47%</t>
  </si>
  <si>
    <t>30,582.00</t>
  </si>
  <si>
    <t>26,268.00</t>
  </si>
  <si>
    <t>0.36</t>
  </si>
  <si>
    <t>764,550.00</t>
  </si>
  <si>
    <t>SAND_27</t>
  </si>
  <si>
    <t>6705,00</t>
  </si>
  <si>
    <t>2.35%</t>
  </si>
  <si>
    <t>31,302.00</t>
  </si>
  <si>
    <t>26,808.00</t>
  </si>
  <si>
    <t>782,550.00</t>
  </si>
  <si>
    <t>SAND_28</t>
  </si>
  <si>
    <t>7020,00</t>
  </si>
  <si>
    <t>2.24%</t>
  </si>
  <si>
    <t>32,004.00</t>
  </si>
  <si>
    <t>27,060.00</t>
  </si>
  <si>
    <t>0.37</t>
  </si>
  <si>
    <t>800,100.00</t>
  </si>
  <si>
    <t>SAND_29</t>
  </si>
  <si>
    <t>7335,00</t>
  </si>
  <si>
    <t>2.14%</t>
  </si>
  <si>
    <t>32,688.00</t>
  </si>
  <si>
    <t>27,300.00</t>
  </si>
  <si>
    <t>817,200.00</t>
  </si>
  <si>
    <t>SAND_30</t>
  </si>
  <si>
    <t>7650,00</t>
  </si>
  <si>
    <t>33,354.00</t>
  </si>
  <si>
    <t>27,528.00</t>
  </si>
  <si>
    <t>0.38</t>
  </si>
  <si>
    <t>833,850.00</t>
  </si>
  <si>
    <t>SAND_31</t>
  </si>
  <si>
    <t>7950,00</t>
  </si>
  <si>
    <t>1.94%</t>
  </si>
  <si>
    <t>34,002.00</t>
  </si>
  <si>
    <t>27,744.00</t>
  </si>
  <si>
    <t>850,050.00</t>
  </si>
  <si>
    <t>SAND_32</t>
  </si>
  <si>
    <t>8250,00</t>
  </si>
  <si>
    <t>34,632.00</t>
  </si>
  <si>
    <t>27,948.00</t>
  </si>
  <si>
    <t>0.39</t>
  </si>
  <si>
    <t>865,800.00</t>
  </si>
  <si>
    <t>SAND_33</t>
  </si>
  <si>
    <t>8550,00</t>
  </si>
  <si>
    <t>1.77%</t>
  </si>
  <si>
    <t>35,244.00</t>
  </si>
  <si>
    <t>28,140.00</t>
  </si>
  <si>
    <t>881,100.00</t>
  </si>
  <si>
    <t>SAND_34</t>
  </si>
  <si>
    <t>8850,00</t>
  </si>
  <si>
    <t>1.69%</t>
  </si>
  <si>
    <t>35,838.00</t>
  </si>
  <si>
    <t>28,488.00</t>
  </si>
  <si>
    <t>0.40</t>
  </si>
  <si>
    <t>895,950.00</t>
  </si>
  <si>
    <t>SAND_35</t>
  </si>
  <si>
    <t>9105,00</t>
  </si>
  <si>
    <t>1.62%</t>
  </si>
  <si>
    <t>36,420.00</t>
  </si>
  <si>
    <t>28,650.79</t>
  </si>
  <si>
    <t>910,500.00</t>
  </si>
  <si>
    <t>COPPER_1</t>
  </si>
  <si>
    <t>720.00</t>
  </si>
  <si>
    <t>0.00</t>
  </si>
  <si>
    <t>48,000.00</t>
  </si>
  <si>
    <t>COPPER_2</t>
  </si>
  <si>
    <t>1,440.00</t>
  </si>
  <si>
    <t>4,104.00</t>
  </si>
  <si>
    <t>96,000.00</t>
  </si>
  <si>
    <t>COPPER_3</t>
  </si>
  <si>
    <t>2,088.00</t>
  </si>
  <si>
    <t>4,560.00</t>
  </si>
  <si>
    <t>139,200.00</t>
  </si>
  <si>
    <t>COPPER_4</t>
  </si>
  <si>
    <t>27.59%</t>
  </si>
  <si>
    <t>2,664.00</t>
  </si>
  <si>
    <t>5,400.00</t>
  </si>
  <si>
    <t>177,600.00</t>
  </si>
  <si>
    <t>COPPER_5</t>
  </si>
  <si>
    <t>360,00</t>
  </si>
  <si>
    <t>20.27%</t>
  </si>
  <si>
    <t>3,204.00</t>
  </si>
  <si>
    <t>6,144.00</t>
  </si>
  <si>
    <t>213,600.00</t>
  </si>
  <si>
    <t>540,00</t>
  </si>
  <si>
    <t>15.73%</t>
  </si>
  <si>
    <t>3,708.00</t>
  </si>
  <si>
    <t>6,492.00</t>
  </si>
  <si>
    <t>247,200.00</t>
  </si>
  <si>
    <t>COPPER_7</t>
  </si>
  <si>
    <t>750,00</t>
  </si>
  <si>
    <t>13.2%</t>
  </si>
  <si>
    <t>4,197.60</t>
  </si>
  <si>
    <t>6,828.00</t>
  </si>
  <si>
    <t>279,840.00</t>
  </si>
  <si>
    <t>COPPER_8</t>
  </si>
  <si>
    <t>960,00</t>
  </si>
  <si>
    <t>11.15%</t>
  </si>
  <si>
    <t>4,665.60</t>
  </si>
  <si>
    <t>7,464.00</t>
  </si>
  <si>
    <t>0.01</t>
  </si>
  <si>
    <t>311,040.00</t>
  </si>
  <si>
    <t>COPPER_9</t>
  </si>
  <si>
    <t>1170,00</t>
  </si>
  <si>
    <t>5,119.20</t>
  </si>
  <si>
    <t>7,764.00</t>
  </si>
  <si>
    <t>341,280.00</t>
  </si>
  <si>
    <t>COPPER_10</t>
  </si>
  <si>
    <t>1350,00</t>
  </si>
  <si>
    <t>8.44%</t>
  </si>
  <si>
    <t>5,551.20</t>
  </si>
  <si>
    <t>8,058.00</t>
  </si>
  <si>
    <t>COPPER_11</t>
  </si>
  <si>
    <t>1500,00</t>
  </si>
  <si>
    <t>7.52%</t>
  </si>
  <si>
    <t>5,968.80</t>
  </si>
  <si>
    <t>8,346.00</t>
  </si>
  <si>
    <t>397,920.00</t>
  </si>
  <si>
    <t>COPPER_12</t>
  </si>
  <si>
    <t>1650,00</t>
  </si>
  <si>
    <t>6.63%</t>
  </si>
  <si>
    <t>6,364.80</t>
  </si>
  <si>
    <t>8,628.00</t>
  </si>
  <si>
    <t>424,320.00</t>
  </si>
  <si>
    <t>COPPER_13</t>
  </si>
  <si>
    <t>1800,00</t>
  </si>
  <si>
    <t>6,746.40</t>
  </si>
  <si>
    <t>8,904.00</t>
  </si>
  <si>
    <t>449,760.00</t>
  </si>
  <si>
    <t>COPPER_14</t>
  </si>
  <si>
    <t>1950,00</t>
  </si>
  <si>
    <t>5.34%</t>
  </si>
  <si>
    <t>7,106.40</t>
  </si>
  <si>
    <t>9,174.00</t>
  </si>
  <si>
    <t>473,760.00</t>
  </si>
  <si>
    <t>COPPER_15</t>
  </si>
  <si>
    <t>2100,00</t>
  </si>
  <si>
    <t>4.86%</t>
  </si>
  <si>
    <t>7,452.00</t>
  </si>
  <si>
    <t>9,438.00</t>
  </si>
  <si>
    <t>496,800.00</t>
  </si>
  <si>
    <t>COPPER_16</t>
  </si>
  <si>
    <t>2250,00</t>
  </si>
  <si>
    <t>4.44%</t>
  </si>
  <si>
    <t>7,783.20</t>
  </si>
  <si>
    <t>9,696.00</t>
  </si>
  <si>
    <t>518,880.00</t>
  </si>
  <si>
    <t>COPPER_17</t>
  </si>
  <si>
    <t>2370,00</t>
  </si>
  <si>
    <t>4.07%</t>
  </si>
  <si>
    <t>8,100.00</t>
  </si>
  <si>
    <t>9,948.00</t>
  </si>
  <si>
    <t>540,000.00</t>
  </si>
  <si>
    <t>COPPER_18</t>
  </si>
  <si>
    <t>2490,00</t>
  </si>
  <si>
    <t>3.73%</t>
  </si>
  <si>
    <t>8,402.40</t>
  </si>
  <si>
    <t>10,194.00</t>
  </si>
  <si>
    <t>560,160.00</t>
  </si>
  <si>
    <t>COPPER_19</t>
  </si>
  <si>
    <t>2610,00</t>
  </si>
  <si>
    <t>3.43%</t>
  </si>
  <si>
    <t>8,690.40</t>
  </si>
  <si>
    <t>10,434.00</t>
  </si>
  <si>
    <t>579,360.00</t>
  </si>
  <si>
    <t>COPPER_20</t>
  </si>
  <si>
    <t>2730,00</t>
  </si>
  <si>
    <t>3.23%</t>
  </si>
  <si>
    <t>8,971.20</t>
  </si>
  <si>
    <t>10,668.00</t>
  </si>
  <si>
    <t>598,080.00</t>
  </si>
  <si>
    <t>COPPER_21</t>
  </si>
  <si>
    <t>2850,00</t>
  </si>
  <si>
    <t>3.05%</t>
  </si>
  <si>
    <t>9,244.80</t>
  </si>
  <si>
    <t>10,896.00</t>
  </si>
  <si>
    <t>616,320.00</t>
  </si>
  <si>
    <t>COPPER_22</t>
  </si>
  <si>
    <t>2970,00</t>
  </si>
  <si>
    <t>9,511.20</t>
  </si>
  <si>
    <t>634,080.00</t>
  </si>
  <si>
    <t>COPPER_23</t>
  </si>
  <si>
    <t>3090,00</t>
  </si>
  <si>
    <t>9,770.40</t>
  </si>
  <si>
    <t>11,118.00</t>
  </si>
  <si>
    <t>651,360.00</t>
  </si>
  <si>
    <t>COPPER_24</t>
  </si>
  <si>
    <t>3210,00</t>
  </si>
  <si>
    <t>2.58%</t>
  </si>
  <si>
    <t>10,022.40</t>
  </si>
  <si>
    <t>11,334.00</t>
  </si>
  <si>
    <t>668,160.00</t>
  </si>
  <si>
    <t>COPPER_25</t>
  </si>
  <si>
    <t>3330,00</t>
  </si>
  <si>
    <t>2.51%</t>
  </si>
  <si>
    <t>10,274.40</t>
  </si>
  <si>
    <t>11,544.00</t>
  </si>
  <si>
    <t>684,960.00</t>
  </si>
  <si>
    <t>COPPER_26</t>
  </si>
  <si>
    <t>2.38%</t>
  </si>
  <si>
    <t>10,519.20</t>
  </si>
  <si>
    <t>11,748.00</t>
  </si>
  <si>
    <t>701,280.00</t>
  </si>
  <si>
    <t>COPPER_27</t>
  </si>
  <si>
    <t>3540,00</t>
  </si>
  <si>
    <t>2.33%</t>
  </si>
  <si>
    <t>10,764.00</t>
  </si>
  <si>
    <t>11,946.00</t>
  </si>
  <si>
    <t>717,600.00</t>
  </si>
  <si>
    <t>COPPER_28</t>
  </si>
  <si>
    <t>3630,00</t>
  </si>
  <si>
    <t>2.21%</t>
  </si>
  <si>
    <t>11,001.60</t>
  </si>
  <si>
    <t>733,440.00</t>
  </si>
  <si>
    <t>COPPER_29</t>
  </si>
  <si>
    <t>3720,00</t>
  </si>
  <si>
    <t>11,232.00</t>
  </si>
  <si>
    <t>12,140.00</t>
  </si>
  <si>
    <t>748,800.00</t>
  </si>
  <si>
    <t>COPPER_30</t>
  </si>
  <si>
    <t>3810,00</t>
  </si>
  <si>
    <t>11,430.00</t>
  </si>
  <si>
    <t>762,000.00</t>
  </si>
  <si>
    <t>SEAWATER_1</t>
  </si>
  <si>
    <t>16,00</t>
  </si>
  <si>
    <t>192.00</t>
  </si>
  <si>
    <t>39,000.00</t>
  </si>
  <si>
    <t>SEAWATER_2</t>
  </si>
  <si>
    <t>133.35%</t>
  </si>
  <si>
    <t>143.98</t>
  </si>
  <si>
    <t>SEAWATER_3</t>
  </si>
  <si>
    <t>160.00%</t>
  </si>
  <si>
    <t>120.00</t>
  </si>
  <si>
    <t>SEAWATER_4</t>
  </si>
  <si>
    <t>8,80</t>
  </si>
  <si>
    <t>181.85%</t>
  </si>
  <si>
    <t>105.58</t>
  </si>
  <si>
    <t>SEAWATER_5</t>
  </si>
  <si>
    <t>8,00</t>
  </si>
  <si>
    <t>200.00%</t>
  </si>
  <si>
    <t>96.00</t>
  </si>
  <si>
    <t>SEAWATER_6</t>
  </si>
  <si>
    <t>78,000.00</t>
  </si>
  <si>
    <t>SEAWATER_7</t>
  </si>
  <si>
    <t>32,00</t>
  </si>
  <si>
    <t>219.43</t>
  </si>
  <si>
    <t>89,142.86</t>
  </si>
  <si>
    <t>SEAWATER_8</t>
  </si>
  <si>
    <t>56,00</t>
  </si>
  <si>
    <t>16.67%</t>
  </si>
  <si>
    <t>256.00</t>
  </si>
  <si>
    <t>104,000.00</t>
  </si>
  <si>
    <t>SEAWATER_9</t>
  </si>
  <si>
    <t>80,00</t>
  </si>
  <si>
    <t>284.44</t>
  </si>
  <si>
    <t>115,555.56</t>
  </si>
  <si>
    <t>SEAWATER_10</t>
  </si>
  <si>
    <t>77,34</t>
  </si>
  <si>
    <t>206.88%</t>
  </si>
  <si>
    <t>296.99</t>
  </si>
  <si>
    <t>124,800.00</t>
  </si>
  <si>
    <t>SEAWATER_11</t>
  </si>
  <si>
    <t>75,07</t>
  </si>
  <si>
    <t>213.15%</t>
  </si>
  <si>
    <t>7.14%</t>
  </si>
  <si>
    <t>308.84</t>
  </si>
  <si>
    <t>133,714.29</t>
  </si>
  <si>
    <t>SEAWATER_12</t>
  </si>
  <si>
    <t>73,08</t>
  </si>
  <si>
    <t>218.93%</t>
  </si>
  <si>
    <t>6.06%</t>
  </si>
  <si>
    <t>318.91</t>
  </si>
  <si>
    <t>141,818.18</t>
  </si>
  <si>
    <t>SEAWATER_13</t>
  </si>
  <si>
    <t>71,34</t>
  </si>
  <si>
    <t>224.27%</t>
  </si>
  <si>
    <t>4.76%</t>
  </si>
  <si>
    <t>326.14</t>
  </si>
  <si>
    <t>148,571.43</t>
  </si>
  <si>
    <t>SEAWATER_14</t>
  </si>
  <si>
    <t>69,79</t>
  </si>
  <si>
    <t>229.25%</t>
  </si>
  <si>
    <t>335.01</t>
  </si>
  <si>
    <t>156,000.00</t>
  </si>
  <si>
    <t>SEAWATER_15</t>
  </si>
  <si>
    <t>68,41</t>
  </si>
  <si>
    <t>233.90%</t>
  </si>
  <si>
    <t>5.26%</t>
  </si>
  <si>
    <t>345.63</t>
  </si>
  <si>
    <t>164,210.53</t>
  </si>
  <si>
    <t>SEAWATER_16</t>
  </si>
  <si>
    <t>67,15</t>
  </si>
  <si>
    <t>238.28%</t>
  </si>
  <si>
    <t>3.64%</t>
  </si>
  <si>
    <t>351.61</t>
  </si>
  <si>
    <t>170,181.82</t>
  </si>
  <si>
    <t>SEAWATER_17</t>
  </si>
  <si>
    <t>66,01</t>
  </si>
  <si>
    <t>242.40%</t>
  </si>
  <si>
    <t>3.77%</t>
  </si>
  <si>
    <t>358.68</t>
  </si>
  <si>
    <t>176,603.77</t>
  </si>
  <si>
    <t>SEAWATER_18</t>
  </si>
  <si>
    <t>64,96</t>
  </si>
  <si>
    <t>246.30%</t>
  </si>
  <si>
    <t>3.92%</t>
  </si>
  <si>
    <t>366.84</t>
  </si>
  <si>
    <t>183,529.41</t>
  </si>
  <si>
    <t>SEAWATER_19</t>
  </si>
  <si>
    <t>64,00</t>
  </si>
  <si>
    <t>250.00%</t>
  </si>
  <si>
    <t>6.25%</t>
  </si>
  <si>
    <t>384.00</t>
  </si>
  <si>
    <t>195,000.00</t>
  </si>
  <si>
    <t>SEAWATER_20</t>
  </si>
  <si>
    <t>83,20</t>
  </si>
  <si>
    <t>399.36</t>
  </si>
  <si>
    <t>202,800.00</t>
  </si>
  <si>
    <t>SEAWATER_21</t>
  </si>
  <si>
    <t>108,80</t>
  </si>
  <si>
    <t>5.46%</t>
  </si>
  <si>
    <t>421.16</t>
  </si>
  <si>
    <t>213,870.97</t>
  </si>
  <si>
    <t>SEAWATER_22</t>
  </si>
  <si>
    <t>140,80</t>
  </si>
  <si>
    <t>4.65%</t>
  </si>
  <si>
    <t>440.77</t>
  </si>
  <si>
    <t>223,826.09</t>
  </si>
  <si>
    <t>SEAWATER_23</t>
  </si>
  <si>
    <t>166,40</t>
  </si>
  <si>
    <t>4.14%</t>
  </si>
  <si>
    <t>459.03</t>
  </si>
  <si>
    <t>233,103.45</t>
  </si>
  <si>
    <t>SEAWATER_24</t>
  </si>
  <si>
    <t>185,60</t>
  </si>
  <si>
    <t>3.97%</t>
  </si>
  <si>
    <t>477.26</t>
  </si>
  <si>
    <t>242,357.14</t>
  </si>
  <si>
    <t>SEAWATER_25</t>
  </si>
  <si>
    <t>192,00</t>
  </si>
  <si>
    <t>3.45%</t>
  </si>
  <si>
    <t>493.71</t>
  </si>
  <si>
    <t>250,714.29</t>
  </si>
  <si>
    <t>SEAWATER_26</t>
  </si>
  <si>
    <t>3.7%</t>
  </si>
  <si>
    <t>512.00</t>
  </si>
  <si>
    <t>260,000.00</t>
  </si>
  <si>
    <t>SEAWATER_27</t>
  </si>
  <si>
    <t>180,68</t>
  </si>
  <si>
    <t>265.66%</t>
  </si>
  <si>
    <t>3.25%</t>
  </si>
  <si>
    <t>497.48</t>
  </si>
  <si>
    <t>268,451.24</t>
  </si>
  <si>
    <t>SEAWATER_28</t>
  </si>
  <si>
    <t>172,17</t>
  </si>
  <si>
    <t>278.79%</t>
  </si>
  <si>
    <t>2.95%</t>
  </si>
  <si>
    <t>488.05</t>
  </si>
  <si>
    <t>276,377.95</t>
  </si>
  <si>
    <t>SEAWATER_29</t>
  </si>
  <si>
    <t>165,47</t>
  </si>
  <si>
    <t>290.08%</t>
  </si>
  <si>
    <t>2.83%</t>
  </si>
  <si>
    <t>482.34</t>
  </si>
  <si>
    <t>284,210.53</t>
  </si>
  <si>
    <t>160,00</t>
  </si>
  <si>
    <t>300.00%</t>
  </si>
  <si>
    <t>2.92%</t>
  </si>
  <si>
    <t>480.00</t>
  </si>
  <si>
    <t>292,500.00</t>
  </si>
  <si>
    <t>HEAT_1</t>
  </si>
  <si>
    <t>18,00</t>
  </si>
  <si>
    <t>172.80</t>
  </si>
  <si>
    <t>43,199.99</t>
  </si>
  <si>
    <t>HEAT_2</t>
  </si>
  <si>
    <t>13,50</t>
  </si>
  <si>
    <t>129.58</t>
  </si>
  <si>
    <t>HEAT_3</t>
  </si>
  <si>
    <t>11,25</t>
  </si>
  <si>
    <t>108.00</t>
  </si>
  <si>
    <t>HEAT_4</t>
  </si>
  <si>
    <t>9,90</t>
  </si>
  <si>
    <t>95.02</t>
  </si>
  <si>
    <t>HEAT_5</t>
  </si>
  <si>
    <t>9,00</t>
  </si>
  <si>
    <t>86.40</t>
  </si>
  <si>
    <t>HEAT_6</t>
  </si>
  <si>
    <t>86,399.97</t>
  </si>
  <si>
    <t>HEAT_7</t>
  </si>
  <si>
    <t>27,00</t>
  </si>
  <si>
    <t>9.76%</t>
  </si>
  <si>
    <t>189.66</t>
  </si>
  <si>
    <t>94,829.28</t>
  </si>
  <si>
    <t>HEAT_8</t>
  </si>
  <si>
    <t>45,00</t>
  </si>
  <si>
    <t>8.12%</t>
  </si>
  <si>
    <t>205.06</t>
  </si>
  <si>
    <t>102,531.67</t>
  </si>
  <si>
    <t>HEAT_9</t>
  </si>
  <si>
    <t>72,00</t>
  </si>
  <si>
    <t>5.33%</t>
  </si>
  <si>
    <t>216.00</t>
  </si>
  <si>
    <t>108,000.01</t>
  </si>
  <si>
    <t>HEAT_10</t>
  </si>
  <si>
    <t>69,61</t>
  </si>
  <si>
    <t>12.94%</t>
  </si>
  <si>
    <t>235.84</t>
  </si>
  <si>
    <t>121,976.47</t>
  </si>
  <si>
    <t>HEAT_11</t>
  </si>
  <si>
    <t>67,56</t>
  </si>
  <si>
    <t>10.68%</t>
  </si>
  <si>
    <t>253.34</t>
  </si>
  <si>
    <t>134,999.98</t>
  </si>
  <si>
    <t>HEAT_12</t>
  </si>
  <si>
    <t>65,77</t>
  </si>
  <si>
    <t>9.09%</t>
  </si>
  <si>
    <t>269.08</t>
  </si>
  <si>
    <t>147,272.75</t>
  </si>
  <si>
    <t>HEAT_13</t>
  </si>
  <si>
    <t>64,21</t>
  </si>
  <si>
    <t>7.65%</t>
  </si>
  <si>
    <t>282.75</t>
  </si>
  <si>
    <t>158,532.13</t>
  </si>
  <si>
    <t>HEAT_14</t>
  </si>
  <si>
    <t>62,81</t>
  </si>
  <si>
    <t>6.86%</t>
  </si>
  <si>
    <t>295.59</t>
  </si>
  <si>
    <t>169,411.76</t>
  </si>
  <si>
    <t>HEAT_15</t>
  </si>
  <si>
    <t>61,56</t>
  </si>
  <si>
    <t>307.82</t>
  </si>
  <si>
    <t>180,000.00</t>
  </si>
  <si>
    <t>HEAT_16</t>
  </si>
  <si>
    <t>60,43</t>
  </si>
  <si>
    <t>5.11%</t>
  </si>
  <si>
    <t>317.60</t>
  </si>
  <si>
    <t>189,197.06</t>
  </si>
  <si>
    <t>HEAT_17</t>
  </si>
  <si>
    <t>59,41</t>
  </si>
  <si>
    <t>4.98%</t>
  </si>
  <si>
    <t>327.76</t>
  </si>
  <si>
    <t>198,620.69</t>
  </si>
  <si>
    <t>HEAT_18</t>
  </si>
  <si>
    <t>58,47</t>
  </si>
  <si>
    <t>4.4%</t>
  </si>
  <si>
    <t>336.76</t>
  </si>
  <si>
    <t>207,360.01</t>
  </si>
  <si>
    <t>HEAT_19</t>
  </si>
  <si>
    <t>57,60</t>
  </si>
  <si>
    <t>4.17%</t>
  </si>
  <si>
    <t>345.60</t>
  </si>
  <si>
    <t>215,999.96</t>
  </si>
  <si>
    <t>HEAT_20</t>
  </si>
  <si>
    <t>8.7%</t>
  </si>
  <si>
    <t>375.65</t>
  </si>
  <si>
    <t>234,782.57</t>
  </si>
  <si>
    <t>HEAT_21</t>
  </si>
  <si>
    <t>93,60</t>
  </si>
  <si>
    <t>6.79%</t>
  </si>
  <si>
    <t>401.14</t>
  </si>
  <si>
    <t>250,714.32</t>
  </si>
  <si>
    <t>HEAT_22</t>
  </si>
  <si>
    <t>122,40</t>
  </si>
  <si>
    <t>5.37%</t>
  </si>
  <si>
    <t>422.68</t>
  </si>
  <si>
    <t>264,172.69</t>
  </si>
  <si>
    <t>HEAT_23</t>
  </si>
  <si>
    <t>151,20</t>
  </si>
  <si>
    <t>4.7%</t>
  </si>
  <si>
    <t>442.54</t>
  </si>
  <si>
    <t>276,585.34</t>
  </si>
  <si>
    <t>HEAT_24</t>
  </si>
  <si>
    <t>180,00</t>
  </si>
  <si>
    <t>4.03%</t>
  </si>
  <si>
    <t>460.39</t>
  </si>
  <si>
    <t>287,744.24</t>
  </si>
  <si>
    <t>HEAT_25</t>
  </si>
  <si>
    <t>3.49%</t>
  </si>
  <si>
    <t>476.47</t>
  </si>
  <si>
    <t>297,794.10</t>
  </si>
  <si>
    <t>HEAT_26</t>
  </si>
  <si>
    <t>490.91</t>
  </si>
  <si>
    <t>306,818.15</t>
  </si>
  <si>
    <t>HEAT_27</t>
  </si>
  <si>
    <t>169,39</t>
  </si>
  <si>
    <t>475.48</t>
  </si>
  <si>
    <t>315,789.47</t>
  </si>
  <si>
    <t>HEAT_28</t>
  </si>
  <si>
    <t>161,41</t>
  </si>
  <si>
    <t>2.4%</t>
  </si>
  <si>
    <t>463.94</t>
  </si>
  <si>
    <t>323,353.26</t>
  </si>
  <si>
    <t>155,13</t>
  </si>
  <si>
    <t>455.89</t>
  </si>
  <si>
    <t>330,612.22</t>
  </si>
  <si>
    <t>HEAT_30</t>
  </si>
  <si>
    <t>150,00</t>
  </si>
  <si>
    <t>2.08%</t>
  </si>
  <si>
    <t>450.00</t>
  </si>
  <si>
    <t>337,500.03</t>
  </si>
  <si>
    <t>ALGAE_1</t>
  </si>
  <si>
    <t>4,00</t>
  </si>
  <si>
    <t>16.00</t>
  </si>
  <si>
    <t>12.00</t>
  </si>
  <si>
    <t>84,000.00</t>
  </si>
  <si>
    <t>ALGAE_2</t>
  </si>
  <si>
    <t>7,92</t>
  </si>
  <si>
    <t>101.05%</t>
  </si>
  <si>
    <t>19.00</t>
  </si>
  <si>
    <t>100,799.92</t>
  </si>
  <si>
    <t>ALGAE_3</t>
  </si>
  <si>
    <t>7,84</t>
  </si>
  <si>
    <t>102.06%</t>
  </si>
  <si>
    <t>17.65%</t>
  </si>
  <si>
    <t>22.13</t>
  </si>
  <si>
    <t>24.00</t>
  </si>
  <si>
    <t>118,588.12</t>
  </si>
  <si>
    <t>ALGAE_4</t>
  </si>
  <si>
    <t>7,76</t>
  </si>
  <si>
    <t>103.04%</t>
  </si>
  <si>
    <t>13.33%</t>
  </si>
  <si>
    <t>24.84</t>
  </si>
  <si>
    <t>32.00</t>
  </si>
  <si>
    <t>134,400.00</t>
  </si>
  <si>
    <t>ALGAE_5</t>
  </si>
  <si>
    <t>15,39</t>
  </si>
  <si>
    <t>103.97%</t>
  </si>
  <si>
    <t>27.36</t>
  </si>
  <si>
    <t>35.56</t>
  </si>
  <si>
    <t>149,333.33</t>
  </si>
  <si>
    <t>ALGAE_6</t>
  </si>
  <si>
    <t>15,26</t>
  </si>
  <si>
    <t>104.88%</t>
  </si>
  <si>
    <t>12.5%</t>
  </si>
  <si>
    <t>30.51</t>
  </si>
  <si>
    <t>41.14</t>
  </si>
  <si>
    <t>168,000.00</t>
  </si>
  <si>
    <t>ALGAE_7</t>
  </si>
  <si>
    <t>15,13</t>
  </si>
  <si>
    <t>105.75%</t>
  </si>
  <si>
    <t>34.58</t>
  </si>
  <si>
    <t>43.64</t>
  </si>
  <si>
    <t>192,000.00</t>
  </si>
  <si>
    <t>ALGAE_8</t>
  </si>
  <si>
    <t>15,01</t>
  </si>
  <si>
    <t>106.59%</t>
  </si>
  <si>
    <t>40.03</t>
  </si>
  <si>
    <t>48.00</t>
  </si>
  <si>
    <t>224,000.00</t>
  </si>
  <si>
    <t>ALGAE_9</t>
  </si>
  <si>
    <t>14,90</t>
  </si>
  <si>
    <t>107.41%</t>
  </si>
  <si>
    <t>44.69</t>
  </si>
  <si>
    <t>50.53</t>
  </si>
  <si>
    <t>252,000.25</t>
  </si>
  <si>
    <t>ALGAE_10</t>
  </si>
  <si>
    <t>22,18</t>
  </si>
  <si>
    <t>108.20%</t>
  </si>
  <si>
    <t>4.35%</t>
  </si>
  <si>
    <t>46.29</t>
  </si>
  <si>
    <t>54.34</t>
  </si>
  <si>
    <t>262,956.34</t>
  </si>
  <si>
    <t>ALGAE_11</t>
  </si>
  <si>
    <t>22,02</t>
  </si>
  <si>
    <t>108.97%</t>
  </si>
  <si>
    <t>9.52%</t>
  </si>
  <si>
    <t>50.34</t>
  </si>
  <si>
    <t>56.47</t>
  </si>
  <si>
    <t>ALGAE_12</t>
  </si>
  <si>
    <t>21,88</t>
  </si>
  <si>
    <t>109.71%</t>
  </si>
  <si>
    <t>10.53%</t>
  </si>
  <si>
    <t>55.27</t>
  </si>
  <si>
    <t>60.00</t>
  </si>
  <si>
    <t>318,316.06</t>
  </si>
  <si>
    <t>ALGAE_13</t>
  </si>
  <si>
    <t>21,73</t>
  </si>
  <si>
    <t>110.44%</t>
  </si>
  <si>
    <t>8.57%</t>
  </si>
  <si>
    <t>59.61</t>
  </si>
  <si>
    <t>65.81</t>
  </si>
  <si>
    <t>345,600.32</t>
  </si>
  <si>
    <t>ALGAE_14</t>
  </si>
  <si>
    <t>21,59</t>
  </si>
  <si>
    <t>111.14%</t>
  </si>
  <si>
    <t>9.38%</t>
  </si>
  <si>
    <t>64.78</t>
  </si>
  <si>
    <t>68.87</t>
  </si>
  <si>
    <t>378,000.38</t>
  </si>
  <si>
    <t>ALGAE_15</t>
  </si>
  <si>
    <t>28,62</t>
  </si>
  <si>
    <t>111.83%</t>
  </si>
  <si>
    <t>1.59%</t>
  </si>
  <si>
    <t>65.41</t>
  </si>
  <si>
    <t>71.72</t>
  </si>
  <si>
    <t>384,000.00</t>
  </si>
  <si>
    <t>ALGAE_16</t>
  </si>
  <si>
    <t>28,45</t>
  </si>
  <si>
    <t>112.49%</t>
  </si>
  <si>
    <t>71.87</t>
  </si>
  <si>
    <t>77.14</t>
  </si>
  <si>
    <t>424,421.41</t>
  </si>
  <si>
    <t>ALGAE_17</t>
  </si>
  <si>
    <t>28,28</t>
  </si>
  <si>
    <t>113.14%</t>
  </si>
  <si>
    <t>5.56%</t>
  </si>
  <si>
    <t>75.42</t>
  </si>
  <si>
    <t>80.00</t>
  </si>
  <si>
    <t>448,000.00</t>
  </si>
  <si>
    <t>ALGAE_18</t>
  </si>
  <si>
    <t>28,12</t>
  </si>
  <si>
    <t>113.78%</t>
  </si>
  <si>
    <t>5.88%</t>
  </si>
  <si>
    <t>79.41</t>
  </si>
  <si>
    <t>85.04</t>
  </si>
  <si>
    <t>474,352.49</t>
  </si>
  <si>
    <t>ALGAE_19</t>
  </si>
  <si>
    <t>27,97</t>
  </si>
  <si>
    <t>114.40%</t>
  </si>
  <si>
    <t>83.92</t>
  </si>
  <si>
    <t>87.45</t>
  </si>
  <si>
    <t>504,000.50</t>
  </si>
  <si>
    <t>34,78</t>
  </si>
  <si>
    <t>115.00%</t>
  </si>
  <si>
    <t>104.35</t>
  </si>
  <si>
    <t>90.00</t>
  </si>
  <si>
    <t>630,000.63</t>
  </si>
  <si>
    <t>LAVA_1</t>
  </si>
  <si>
    <t>9.60</t>
  </si>
  <si>
    <t>90,000.09</t>
  </si>
  <si>
    <t>LAVA_2</t>
  </si>
  <si>
    <t>23.08%</t>
  </si>
  <si>
    <t>14.62</t>
  </si>
  <si>
    <t>110,769.16</t>
  </si>
  <si>
    <t>LAVA_3</t>
  </si>
  <si>
    <t>13.04%</t>
  </si>
  <si>
    <t>16.36</t>
  </si>
  <si>
    <t>19.20</t>
  </si>
  <si>
    <t>125,217.30</t>
  </si>
  <si>
    <t>LAVA_4</t>
  </si>
  <si>
    <t>17.75</t>
  </si>
  <si>
    <t>22.78</t>
  </si>
  <si>
    <t>137,142.86</t>
  </si>
  <si>
    <t>LAVA_5</t>
  </si>
  <si>
    <t>11,54</t>
  </si>
  <si>
    <t>18.47</t>
  </si>
  <si>
    <t>LAVA_6</t>
  </si>
  <si>
    <t>11,44</t>
  </si>
  <si>
    <t>13.21%</t>
  </si>
  <si>
    <t>20.72</t>
  </si>
  <si>
    <t>30.00</t>
  </si>
  <si>
    <t>163,018.97</t>
  </si>
  <si>
    <t>LAVA_7</t>
  </si>
  <si>
    <t>11,35</t>
  </si>
  <si>
    <t>12.77%</t>
  </si>
  <si>
    <t>23.18</t>
  </si>
  <si>
    <t>32.73</t>
  </si>
  <si>
    <t>183,829.91</t>
  </si>
  <si>
    <t>LAVA_8</t>
  </si>
  <si>
    <t>11,26</t>
  </si>
  <si>
    <t>11.9%</t>
  </si>
  <si>
    <t>25.73</t>
  </si>
  <si>
    <t>37.65</t>
  </si>
  <si>
    <t>205,714.29</t>
  </si>
  <si>
    <t>LAVA_9</t>
  </si>
  <si>
    <t>11,17</t>
  </si>
  <si>
    <t>28.22</t>
  </si>
  <si>
    <t>40.00</t>
  </si>
  <si>
    <t>227,368.61</t>
  </si>
  <si>
    <t>LAVA_10</t>
  </si>
  <si>
    <t>14,79</t>
  </si>
  <si>
    <t>28.39</t>
  </si>
  <si>
    <t>42.04</t>
  </si>
  <si>
    <t>230,400.15</t>
  </si>
  <si>
    <t>LAVA_11</t>
  </si>
  <si>
    <t>14,68</t>
  </si>
  <si>
    <t>30.64</t>
  </si>
  <si>
    <t>46.08</t>
  </si>
  <si>
    <t>250,434.61</t>
  </si>
  <si>
    <t>LAVA_12</t>
  </si>
  <si>
    <t>14,58</t>
  </si>
  <si>
    <t>12.2%</t>
  </si>
  <si>
    <t>34.15</t>
  </si>
  <si>
    <t>280,975.83</t>
  </si>
  <si>
    <t>LAVA_13</t>
  </si>
  <si>
    <t>14,49</t>
  </si>
  <si>
    <t>13.89%</t>
  </si>
  <si>
    <t>38.63</t>
  </si>
  <si>
    <t>55.71</t>
  </si>
  <si>
    <t>320,000.00</t>
  </si>
  <si>
    <t>LAVA_14</t>
  </si>
  <si>
    <t>14,40</t>
  </si>
  <si>
    <t>43.19</t>
  </si>
  <si>
    <t>58.71</t>
  </si>
  <si>
    <t>360,000.36</t>
  </si>
  <si>
    <t>LAVA_15</t>
  </si>
  <si>
    <t>21,46</t>
  </si>
  <si>
    <t>44.79</t>
  </si>
  <si>
    <t>61.46</t>
  </si>
  <si>
    <t>375,651.91</t>
  </si>
  <si>
    <t>LAVA_16</t>
  </si>
  <si>
    <t>21,34</t>
  </si>
  <si>
    <t>49.96</t>
  </si>
  <si>
    <t>66.18</t>
  </si>
  <si>
    <t>421,463.74</t>
  </si>
  <si>
    <t>LAVA_17</t>
  </si>
  <si>
    <t>21,21</t>
  </si>
  <si>
    <t>7.89%</t>
  </si>
  <si>
    <t>53.59</t>
  </si>
  <si>
    <t>68.18</t>
  </si>
  <si>
    <t>454,737.23</t>
  </si>
  <si>
    <t>LAVA_18</t>
  </si>
  <si>
    <t>21,1</t>
  </si>
  <si>
    <t>57.86</t>
  </si>
  <si>
    <t>71.86</t>
  </si>
  <si>
    <t>493,714.74</t>
  </si>
  <si>
    <t>20,98</t>
  </si>
  <si>
    <t>62.94</t>
  </si>
  <si>
    <t>73.47</t>
  </si>
  <si>
    <t>540,000.54</t>
  </si>
  <si>
    <t>LAVA_20</t>
  </si>
  <si>
    <t>27,83</t>
  </si>
  <si>
    <t>33.33%</t>
  </si>
  <si>
    <t>83.48</t>
  </si>
  <si>
    <t>75.00</t>
  </si>
  <si>
    <t>720,000.72</t>
  </si>
  <si>
    <t>CERAMICS_1</t>
  </si>
  <si>
    <t>300,00</t>
  </si>
  <si>
    <t>7.20</t>
  </si>
  <si>
    <t>95,999.92</t>
  </si>
  <si>
    <t>CERAMICS_2</t>
  </si>
  <si>
    <t>593,77</t>
  </si>
  <si>
    <t>890.65</t>
  </si>
  <si>
    <t>8.91</t>
  </si>
  <si>
    <t>119,999.94</t>
  </si>
  <si>
    <t>CERAMICS_3</t>
  </si>
  <si>
    <t>587,89</t>
  </si>
  <si>
    <t>1,007.81</t>
  </si>
  <si>
    <t>137,142.94</t>
  </si>
  <si>
    <t>CERAMICS_4</t>
  </si>
  <si>
    <t>582,30</t>
  </si>
  <si>
    <t>1,118.01</t>
  </si>
  <si>
    <t>11.18</t>
  </si>
  <si>
    <t>153,600.10</t>
  </si>
  <si>
    <t>CERAMICS_5</t>
  </si>
  <si>
    <t>865,63</t>
  </si>
  <si>
    <t>1,187.16</t>
  </si>
  <si>
    <t>11.87</t>
  </si>
  <si>
    <t>38.40</t>
  </si>
  <si>
    <t>164,571.35</t>
  </si>
  <si>
    <t>CERAMICS_6</t>
  </si>
  <si>
    <t>858,12</t>
  </si>
  <si>
    <t>12.9%</t>
  </si>
  <si>
    <t>1,328.71</t>
  </si>
  <si>
    <t>13.29</t>
  </si>
  <si>
    <t>185,806.55</t>
  </si>
  <si>
    <t>CERAMICS_7</t>
  </si>
  <si>
    <t>851,06</t>
  </si>
  <si>
    <t>12.73%</t>
  </si>
  <si>
    <t>1,485.49</t>
  </si>
  <si>
    <t>14.86</t>
  </si>
  <si>
    <t>209,454.42</t>
  </si>
  <si>
    <t>CERAMICS_8</t>
  </si>
  <si>
    <t>844,36</t>
  </si>
  <si>
    <t>12.24%</t>
  </si>
  <si>
    <t>1,654.25</t>
  </si>
  <si>
    <t>16.54</t>
  </si>
  <si>
    <t>235,101.89</t>
  </si>
  <si>
    <t>CERAMICS_9</t>
  </si>
  <si>
    <t>837,91</t>
  </si>
  <si>
    <t>11.36%</t>
  </si>
  <si>
    <t>1,828.17</t>
  </si>
  <si>
    <t>18.28</t>
  </si>
  <si>
    <t>261,818.37</t>
  </si>
  <si>
    <t>1109,06</t>
  </si>
  <si>
    <t>1.15%</t>
  </si>
  <si>
    <t>1,835.68</t>
  </si>
  <si>
    <t>18.36</t>
  </si>
  <si>
    <t>52.36</t>
  </si>
  <si>
    <t>264,827.44</t>
  </si>
  <si>
    <t>CERAMICS_11</t>
  </si>
  <si>
    <t>1101,22</t>
  </si>
  <si>
    <t>11.54%</t>
  </si>
  <si>
    <t>2,033.02</t>
  </si>
  <si>
    <t>20.33</t>
  </si>
  <si>
    <t>295,384.43</t>
  </si>
  <si>
    <t>CERAMICS_12</t>
  </si>
  <si>
    <t>1093,79</t>
  </si>
  <si>
    <t>10.64%</t>
  </si>
  <si>
    <t>2,234.13</t>
  </si>
  <si>
    <t>26,544.00</t>
  </si>
  <si>
    <t>22.34</t>
  </si>
  <si>
    <t>326,808.73</t>
  </si>
  <si>
    <t>CERAMICS_13</t>
  </si>
  <si>
    <t>1086,56</t>
  </si>
  <si>
    <t>9.3%</t>
  </si>
  <si>
    <t>2,425.81</t>
  </si>
  <si>
    <t>24.26</t>
  </si>
  <si>
    <t>357,209.04</t>
  </si>
  <si>
    <t>CERAMICS_14</t>
  </si>
  <si>
    <t>1079,72</t>
  </si>
  <si>
    <t>7.5%</t>
  </si>
  <si>
    <t>2,591.32</t>
  </si>
  <si>
    <t>25.91</t>
  </si>
  <si>
    <t>383,999.69</t>
  </si>
  <si>
    <t>CERAMICS_15</t>
  </si>
  <si>
    <t>1341,32</t>
  </si>
  <si>
    <t>2,575.34</t>
  </si>
  <si>
    <t>25.75</t>
  </si>
  <si>
    <t>384,000.25</t>
  </si>
  <si>
    <t>CERAMICS_16</t>
  </si>
  <si>
    <t>1333,45</t>
  </si>
  <si>
    <t>13.64%</t>
  </si>
  <si>
    <t>2,909.35</t>
  </si>
  <si>
    <t>436,363.95</t>
  </si>
  <si>
    <t>CERAMICS_17</t>
  </si>
  <si>
    <t>1325,79</t>
  </si>
  <si>
    <t>12.82%</t>
  </si>
  <si>
    <t>3,263.49</t>
  </si>
  <si>
    <t>28,320.00</t>
  </si>
  <si>
    <t>32.64</t>
  </si>
  <si>
    <t>492,307.69</t>
  </si>
  <si>
    <t>CERAMICS_18</t>
  </si>
  <si>
    <t>1318,33</t>
  </si>
  <si>
    <t>11.43%</t>
  </si>
  <si>
    <t>3,616.00</t>
  </si>
  <si>
    <t>36.16</t>
  </si>
  <si>
    <t>548,571.93</t>
  </si>
  <si>
    <t>CERAMICS_19</t>
  </si>
  <si>
    <t>1311,19</t>
  </si>
  <si>
    <t>3,933.57</t>
  </si>
  <si>
    <t>39.34</t>
  </si>
  <si>
    <t>600,000.60</t>
  </si>
  <si>
    <t>CERAMICS_20</t>
  </si>
  <si>
    <t>1565,22</t>
  </si>
  <si>
    <t>4,695.66</t>
  </si>
  <si>
    <t>46.96</t>
  </si>
  <si>
    <t>STEEL_1</t>
  </si>
  <si>
    <t>5,00</t>
  </si>
  <si>
    <t>10.00</t>
  </si>
  <si>
    <t>200,000.00</t>
  </si>
  <si>
    <t>STEEL_2</t>
  </si>
  <si>
    <t>4,86</t>
  </si>
  <si>
    <t>102.97%</t>
  </si>
  <si>
    <t>10.28</t>
  </si>
  <si>
    <t>123.60</t>
  </si>
  <si>
    <t>211,764.81</t>
  </si>
  <si>
    <t>STEEL_3</t>
  </si>
  <si>
    <t>4,74</t>
  </si>
  <si>
    <t>105.46%</t>
  </si>
  <si>
    <t>4.62%</t>
  </si>
  <si>
    <t>10.50</t>
  </si>
  <si>
    <t>139.92</t>
  </si>
  <si>
    <t>221,538.41</t>
  </si>
  <si>
    <t>STEEL_4</t>
  </si>
  <si>
    <t>4,65</t>
  </si>
  <si>
    <t>107.60%</t>
  </si>
  <si>
    <t>10.71</t>
  </si>
  <si>
    <t>155.52</t>
  </si>
  <si>
    <t>230,399.88</t>
  </si>
  <si>
    <t>STEEL_5</t>
  </si>
  <si>
    <t>4,57</t>
  </si>
  <si>
    <t>109.49%</t>
  </si>
  <si>
    <t>3.31%</t>
  </si>
  <si>
    <t>10.87</t>
  </si>
  <si>
    <t>185.04</t>
  </si>
  <si>
    <t>238,016.47</t>
  </si>
  <si>
    <t>STEEL_6</t>
  </si>
  <si>
    <t>4,50</t>
  </si>
  <si>
    <t>111.17%</t>
  </si>
  <si>
    <t>2.54%</t>
  </si>
  <si>
    <t>10.98</t>
  </si>
  <si>
    <t>198.96</t>
  </si>
  <si>
    <t>244,067.93</t>
  </si>
  <si>
    <t>STEEL_7</t>
  </si>
  <si>
    <t>4,44</t>
  </si>
  <si>
    <t>112.69%</t>
  </si>
  <si>
    <t>2.61%</t>
  </si>
  <si>
    <t>212.16</t>
  </si>
  <si>
    <t>250,434.50</t>
  </si>
  <si>
    <t>4,38</t>
  </si>
  <si>
    <t>114.07%</t>
  </si>
  <si>
    <t>2.68%</t>
  </si>
  <si>
    <t>11.27</t>
  </si>
  <si>
    <t>224.88</t>
  </si>
  <si>
    <t>257,142.78</t>
  </si>
  <si>
    <t>STEEL_9</t>
  </si>
  <si>
    <t>4,34</t>
  </si>
  <si>
    <t>115.34%</t>
  </si>
  <si>
    <t>1.82%</t>
  </si>
  <si>
    <t>11.35</t>
  </si>
  <si>
    <t>248.40</t>
  </si>
  <si>
    <t>261,818.49</t>
  </si>
  <si>
    <t>STEEL_10</t>
  </si>
  <si>
    <t>4,29</t>
  </si>
  <si>
    <t>116.51%</t>
  </si>
  <si>
    <t>11.44</t>
  </si>
  <si>
    <t>259.44</t>
  </si>
  <si>
    <t>266,666.67</t>
  </si>
  <si>
    <t>STEEL_11</t>
  </si>
  <si>
    <t>4,25</t>
  </si>
  <si>
    <t>117.60%</t>
  </si>
  <si>
    <t>11.51</t>
  </si>
  <si>
    <t>280.08</t>
  </si>
  <si>
    <t>270,677.02</t>
  </si>
  <si>
    <t>STEEL_12</t>
  </si>
  <si>
    <t>4,22</t>
  </si>
  <si>
    <t>118.62%</t>
  </si>
  <si>
    <t>11.56</t>
  </si>
  <si>
    <t>289.68</t>
  </si>
  <si>
    <t>274,285.97</t>
  </si>
  <si>
    <t>STEEL_13</t>
  </si>
  <si>
    <t>4,18</t>
  </si>
  <si>
    <t>119.58%</t>
  </si>
  <si>
    <t>1.16%</t>
  </si>
  <si>
    <t>11.60</t>
  </si>
  <si>
    <t>308.16</t>
  </si>
  <si>
    <t>277,456.39</t>
  </si>
  <si>
    <t>STEEL_14</t>
  </si>
  <si>
    <t>4,15</t>
  </si>
  <si>
    <t>120.48%</t>
  </si>
  <si>
    <t>11.65</t>
  </si>
  <si>
    <t>317.04</t>
  </si>
  <si>
    <t>280,701.75</t>
  </si>
  <si>
    <t>STEEL_15</t>
  </si>
  <si>
    <t>4,12</t>
  </si>
  <si>
    <t>121.33%</t>
  </si>
  <si>
    <t>11.70</t>
  </si>
  <si>
    <t>334.08</t>
  </si>
  <si>
    <t>284,023.94</t>
  </si>
  <si>
    <t>STEEL_16</t>
  </si>
  <si>
    <t>4,09</t>
  </si>
  <si>
    <t>122.14%</t>
  </si>
  <si>
    <t>1.4%</t>
  </si>
  <si>
    <t>11.79</t>
  </si>
  <si>
    <t>342.48</t>
  </si>
  <si>
    <t>288,000.18</t>
  </si>
  <si>
    <t>STEEL_17</t>
  </si>
  <si>
    <t>4,07</t>
  </si>
  <si>
    <t>122.90%</t>
  </si>
  <si>
    <t>1.01%</t>
  </si>
  <si>
    <t>11.84</t>
  </si>
  <si>
    <t>358.80</t>
  </si>
  <si>
    <t>290,909.09</t>
  </si>
  <si>
    <t>STEEL_18</t>
  </si>
  <si>
    <t>4,04</t>
  </si>
  <si>
    <t>123.63%</t>
  </si>
  <si>
    <t>1.02%</t>
  </si>
  <si>
    <t>11.89</t>
  </si>
  <si>
    <t>366.72</t>
  </si>
  <si>
    <t>293,877.36</t>
  </si>
  <si>
    <t>STEEL_19</t>
  </si>
  <si>
    <t>4,02</t>
  </si>
  <si>
    <t>124.33%</t>
  </si>
  <si>
    <t>11.94</t>
  </si>
  <si>
    <t>374.40</t>
  </si>
  <si>
    <t>296,906.82</t>
  </si>
  <si>
    <t>STEEL_20</t>
  </si>
  <si>
    <t>125.00%</t>
  </si>
  <si>
    <t>1.04%</t>
  </si>
  <si>
    <t>381.00</t>
  </si>
  <si>
    <t>300,000.30</t>
  </si>
  <si>
    <t>OXYGEN_1</t>
  </si>
  <si>
    <t>4.80</t>
  </si>
  <si>
    <t>OXYGEN_2</t>
  </si>
  <si>
    <t>5,94</t>
  </si>
  <si>
    <t>v</t>
  </si>
  <si>
    <t>5.70</t>
  </si>
  <si>
    <t>259,199.92</t>
  </si>
  <si>
    <t>OXYGEN_3</t>
  </si>
  <si>
    <t>5,88</t>
  </si>
  <si>
    <t>19.05%</t>
  </si>
  <si>
    <t>6.72</t>
  </si>
  <si>
    <t>8.00</t>
  </si>
  <si>
    <t>308,571.43</t>
  </si>
  <si>
    <t>OXYGEN_4</t>
  </si>
  <si>
    <t>5,82</t>
  </si>
  <si>
    <t>7.76</t>
  </si>
  <si>
    <t>OXYGEN_5</t>
  </si>
  <si>
    <t>8,66</t>
  </si>
  <si>
    <t>7.99</t>
  </si>
  <si>
    <t>9.14</t>
  </si>
  <si>
    <t>373,846.27</t>
  </si>
  <si>
    <t>OXYGEN_6</t>
  </si>
  <si>
    <t>8,58</t>
  </si>
  <si>
    <t>8.95</t>
  </si>
  <si>
    <t>10.67</t>
  </si>
  <si>
    <t>422,608.84</t>
  </si>
  <si>
    <t>OXYGEN_7</t>
  </si>
  <si>
    <t>8,51</t>
  </si>
  <si>
    <t>9.73</t>
  </si>
  <si>
    <t>462,857.14</t>
  </si>
  <si>
    <t>OXYGEN_8</t>
  </si>
  <si>
    <t>8,44</t>
  </si>
  <si>
    <t>10.13</t>
  </si>
  <si>
    <t>12.52</t>
  </si>
  <si>
    <t>486,000.19</t>
  </si>
  <si>
    <t>OXYGEN_9</t>
  </si>
  <si>
    <t>8,38</t>
  </si>
  <si>
    <t>10.58</t>
  </si>
  <si>
    <t>13.71</t>
  </si>
  <si>
    <t>511,578.73</t>
  </si>
  <si>
    <t>OXYGEN_10</t>
  </si>
  <si>
    <t>11,09</t>
  </si>
  <si>
    <t>10.65</t>
  </si>
  <si>
    <t>15.16</t>
  </si>
  <si>
    <t>518,399.83</t>
  </si>
  <si>
    <t>OXYGEN_11</t>
  </si>
  <si>
    <t>11,01</t>
  </si>
  <si>
    <t>589,090.69</t>
  </si>
  <si>
    <t>OXYGEN_12</t>
  </si>
  <si>
    <t>10,94</t>
  </si>
  <si>
    <t>13.46</t>
  </si>
  <si>
    <t>16.46</t>
  </si>
  <si>
    <t>664,615.38</t>
  </si>
  <si>
    <t>OXYGEN_13</t>
  </si>
  <si>
    <t>10,87</t>
  </si>
  <si>
    <t>14.90</t>
  </si>
  <si>
    <t>18.00</t>
  </si>
  <si>
    <t>740,571.09</t>
  </si>
  <si>
    <t>OXYGEN_14</t>
  </si>
  <si>
    <t>10,80</t>
  </si>
  <si>
    <t>9.37%</t>
  </si>
  <si>
    <t>16.20</t>
  </si>
  <si>
    <t>18.29</t>
  </si>
  <si>
    <t>809,999.60</t>
  </si>
  <si>
    <t>OXYGEN_15</t>
  </si>
  <si>
    <t>13,41</t>
  </si>
  <si>
    <t>16.94</t>
  </si>
  <si>
    <t>20.21</t>
  </si>
  <si>
    <t>852,631.22</t>
  </si>
  <si>
    <t>OXYGEN_16</t>
  </si>
  <si>
    <t>13,33</t>
  </si>
  <si>
    <t>15.15%</t>
  </si>
  <si>
    <t>19.40</t>
  </si>
  <si>
    <t>21.33</t>
  </si>
  <si>
    <t>981,818.18</t>
  </si>
  <si>
    <t>OXYGEN_17</t>
  </si>
  <si>
    <t>13,26</t>
  </si>
  <si>
    <t>17.86%</t>
  </si>
  <si>
    <t>22.73</t>
  </si>
  <si>
    <t>22.59</t>
  </si>
  <si>
    <t>1,157,143.52</t>
  </si>
  <si>
    <t>OXYGEN_18</t>
  </si>
  <si>
    <t>13,18</t>
  </si>
  <si>
    <t>26.37</t>
  </si>
  <si>
    <t>1,350,000.00</t>
  </si>
  <si>
    <t>OXYGEN_19</t>
  </si>
  <si>
    <t>13,11</t>
  </si>
  <si>
    <t>31.47</t>
  </si>
  <si>
    <t>1,619,998.70</t>
  </si>
  <si>
    <t>15,65</t>
  </si>
  <si>
    <t>2,430,002.43</t>
  </si>
  <si>
    <t>GLASS_1</t>
  </si>
  <si>
    <t>240.00</t>
  </si>
  <si>
    <t>GLASS_2</t>
  </si>
  <si>
    <t>356,26</t>
  </si>
  <si>
    <t>285.01</t>
  </si>
  <si>
    <t>12.67</t>
  </si>
  <si>
    <t>GLASS_3</t>
  </si>
  <si>
    <t>352,73</t>
  </si>
  <si>
    <t>331.98</t>
  </si>
  <si>
    <t>14.75</t>
  </si>
  <si>
    <t>338,823.53</t>
  </si>
  <si>
    <t>GLASS_4</t>
  </si>
  <si>
    <t>349,38</t>
  </si>
  <si>
    <t>15.91%</t>
  </si>
  <si>
    <t>381.14</t>
  </si>
  <si>
    <t>392,727.13</t>
  </si>
  <si>
    <t>519,38</t>
  </si>
  <si>
    <t>395.72</t>
  </si>
  <si>
    <t>17.59</t>
  </si>
  <si>
    <t>411,428.57</t>
  </si>
  <si>
    <t>GLASS_6</t>
  </si>
  <si>
    <t>514,87</t>
  </si>
  <si>
    <t>441.32</t>
  </si>
  <si>
    <t>19.61</t>
  </si>
  <si>
    <t>35.23</t>
  </si>
  <si>
    <t>462,857.01</t>
  </si>
  <si>
    <t>GLASS_7</t>
  </si>
  <si>
    <t>510,64</t>
  </si>
  <si>
    <t>490.21</t>
  </si>
  <si>
    <t>21.79</t>
  </si>
  <si>
    <t>GLASS_8</t>
  </si>
  <si>
    <t>506,61</t>
  </si>
  <si>
    <t>540.39</t>
  </si>
  <si>
    <t>576,000.00</t>
  </si>
  <si>
    <t>GLASS_9</t>
  </si>
  <si>
    <t>502,75</t>
  </si>
  <si>
    <t>588.58</t>
  </si>
  <si>
    <t>26.16</t>
  </si>
  <si>
    <t>44.14</t>
  </si>
  <si>
    <t>632,194.88</t>
  </si>
  <si>
    <t>GLASS_10</t>
  </si>
  <si>
    <t>665,43</t>
  </si>
  <si>
    <t>3.14%</t>
  </si>
  <si>
    <t>602.66</t>
  </si>
  <si>
    <t>26.78</t>
  </si>
  <si>
    <t>652,075.27</t>
  </si>
  <si>
    <t>GLASS_11</t>
  </si>
  <si>
    <t>660,73</t>
  </si>
  <si>
    <t>15.22%</t>
  </si>
  <si>
    <t>689.46</t>
  </si>
  <si>
    <t>52.17</t>
  </si>
  <si>
    <t>751,304.61</t>
  </si>
  <si>
    <t>GLASS_12</t>
  </si>
  <si>
    <t>656,28</t>
  </si>
  <si>
    <t>768.32</t>
  </si>
  <si>
    <t>842,926.50</t>
  </si>
  <si>
    <t>GLASS_13</t>
  </si>
  <si>
    <t>651,94</t>
  </si>
  <si>
    <t>10.81%</t>
  </si>
  <si>
    <t>845.76</t>
  </si>
  <si>
    <t>37.59</t>
  </si>
  <si>
    <t>934,054.46</t>
  </si>
  <si>
    <t>GLASS_14</t>
  </si>
  <si>
    <t>647,83</t>
  </si>
  <si>
    <t>8.82%</t>
  </si>
  <si>
    <t>914.59</t>
  </si>
  <si>
    <t>40.65</t>
  </si>
  <si>
    <t>1,016,471.07</t>
  </si>
  <si>
    <t>GLASS_15</t>
  </si>
  <si>
    <t>804,79</t>
  </si>
  <si>
    <t>1.19%</t>
  </si>
  <si>
    <t>919.76</t>
  </si>
  <si>
    <t>40.88</t>
  </si>
  <si>
    <t>1,028,571.43</t>
  </si>
  <si>
    <t>GLASS_16</t>
  </si>
  <si>
    <t>800,07</t>
  </si>
  <si>
    <t>1,097.24</t>
  </si>
  <si>
    <t>48.77</t>
  </si>
  <si>
    <t>1,234,285.15</t>
  </si>
  <si>
    <t>GLASS_17</t>
  </si>
  <si>
    <t>795,47</t>
  </si>
  <si>
    <t>20.69%</t>
  </si>
  <si>
    <t>1,316.65</t>
  </si>
  <si>
    <t>58.52</t>
  </si>
  <si>
    <t>70.18</t>
  </si>
  <si>
    <t>1,489,654.35</t>
  </si>
  <si>
    <t>GLASS_18</t>
  </si>
  <si>
    <t>791,00</t>
  </si>
  <si>
    <t>20.83%</t>
  </si>
  <si>
    <t>1,582.00</t>
  </si>
  <si>
    <t>70.31</t>
  </si>
  <si>
    <t>1,800,000.00</t>
  </si>
  <si>
    <t>GLASS_19</t>
  </si>
  <si>
    <t>786,71</t>
  </si>
  <si>
    <t>1,888.11</t>
  </si>
  <si>
    <t>2,159,998.27</t>
  </si>
  <si>
    <t>GLASS_20</t>
  </si>
  <si>
    <t>939,13</t>
  </si>
  <si>
    <t>2,817.39</t>
  </si>
  <si>
    <t>125.22</t>
  </si>
  <si>
    <t>3,240,003.24</t>
  </si>
  <si>
    <t>GAS_1</t>
  </si>
  <si>
    <t>2,00</t>
  </si>
  <si>
    <t>1.60</t>
  </si>
  <si>
    <t>450,000.00</t>
  </si>
  <si>
    <t>GAS_2</t>
  </si>
  <si>
    <t>1,98</t>
  </si>
  <si>
    <t>101.00%</t>
  </si>
  <si>
    <t>11.63%</t>
  </si>
  <si>
    <t>2.21</t>
  </si>
  <si>
    <t>2.67</t>
  </si>
  <si>
    <t>502,325.77</t>
  </si>
  <si>
    <t>GAS_3</t>
  </si>
  <si>
    <t>1,96</t>
  </si>
  <si>
    <t>102.00%</t>
  </si>
  <si>
    <t>10.26%</t>
  </si>
  <si>
    <t>2.41</t>
  </si>
  <si>
    <t>2.77</t>
  </si>
  <si>
    <t>553,846.15</t>
  </si>
  <si>
    <t>GAS_4</t>
  </si>
  <si>
    <t>1,94</t>
  </si>
  <si>
    <t>103.00%</t>
  </si>
  <si>
    <t>8.33%</t>
  </si>
  <si>
    <t>2.59</t>
  </si>
  <si>
    <t>GAS_5</t>
  </si>
  <si>
    <t>1,92</t>
  </si>
  <si>
    <t>104.00%</t>
  </si>
  <si>
    <t>2.80</t>
  </si>
  <si>
    <t>3.13</t>
  </si>
  <si>
    <t>654,545.45</t>
  </si>
  <si>
    <t>GAS_6</t>
  </si>
  <si>
    <t>1,90</t>
  </si>
  <si>
    <t>105.00%</t>
  </si>
  <si>
    <t>3.60</t>
  </si>
  <si>
    <t>720,000.00</t>
  </si>
  <si>
    <t>GAS_7</t>
  </si>
  <si>
    <t>1,89</t>
  </si>
  <si>
    <t>106.00%</t>
  </si>
  <si>
    <t>3.23</t>
  </si>
  <si>
    <t>3.79</t>
  </si>
  <si>
    <t>771,429.01</t>
  </si>
  <si>
    <t>GAS_8</t>
  </si>
  <si>
    <t>1,87</t>
  </si>
  <si>
    <t>107.00%</t>
  </si>
  <si>
    <t>3.45</t>
  </si>
  <si>
    <t>3.84</t>
  </si>
  <si>
    <t>830,768.72</t>
  </si>
  <si>
    <t>GAS_9</t>
  </si>
  <si>
    <t>1,85</t>
  </si>
  <si>
    <t>108.00%</t>
  </si>
  <si>
    <t>3.70</t>
  </si>
  <si>
    <t>4.92</t>
  </si>
  <si>
    <t>900,000.00</t>
  </si>
  <si>
    <t>GAS_10</t>
  </si>
  <si>
    <t>3,67</t>
  </si>
  <si>
    <t>109.00%</t>
  </si>
  <si>
    <t>4.40</t>
  </si>
  <si>
    <t>5.49</t>
  </si>
  <si>
    <t>1,080,000.43</t>
  </si>
  <si>
    <t>GAS_11</t>
  </si>
  <si>
    <t>3,64</t>
  </si>
  <si>
    <t>110.00%</t>
  </si>
  <si>
    <t>5.45</t>
  </si>
  <si>
    <t>6.00</t>
  </si>
  <si>
    <t>1,349,999.33</t>
  </si>
  <si>
    <t>GAS_12</t>
  </si>
  <si>
    <t>3,60</t>
  </si>
  <si>
    <t>111.00%</t>
  </si>
  <si>
    <t>6.65</t>
  </si>
  <si>
    <t>7.27</t>
  </si>
  <si>
    <t>1,661,537.44</t>
  </si>
  <si>
    <t>GAS_13</t>
  </si>
  <si>
    <t>3,57</t>
  </si>
  <si>
    <t>112.00%</t>
  </si>
  <si>
    <t>8.57</t>
  </si>
  <si>
    <t>GAS_14</t>
  </si>
  <si>
    <t>3,54</t>
  </si>
  <si>
    <t>113.00%</t>
  </si>
  <si>
    <t>10.62</t>
  </si>
  <si>
    <t>2,700,002.70</t>
  </si>
  <si>
    <t>5,22</t>
  </si>
  <si>
    <t>15.65</t>
  </si>
  <si>
    <t>4,050,004.05</t>
  </si>
  <si>
    <t>STONE_1</t>
  </si>
  <si>
    <t>2.57</t>
  </si>
  <si>
    <t>492,857.00</t>
  </si>
  <si>
    <t>STONE_2</t>
  </si>
  <si>
    <t>9.50</t>
  </si>
  <si>
    <t>2.85</t>
  </si>
  <si>
    <t>551,999.82</t>
  </si>
  <si>
    <t>STONE_3</t>
  </si>
  <si>
    <t>9,80</t>
  </si>
  <si>
    <t>10.46</t>
  </si>
  <si>
    <t>3.14</t>
  </si>
  <si>
    <t>613,333.33</t>
  </si>
  <si>
    <t>STONE_4</t>
  </si>
  <si>
    <t>9,71</t>
  </si>
  <si>
    <t>11.37</t>
  </si>
  <si>
    <t>3.41</t>
  </si>
  <si>
    <t>673,170.47</t>
  </si>
  <si>
    <t>STONE_5</t>
  </si>
  <si>
    <t>9,62</t>
  </si>
  <si>
    <t>12.15</t>
  </si>
  <si>
    <t>236.88</t>
  </si>
  <si>
    <t>3.64</t>
  </si>
  <si>
    <t>726,315.48</t>
  </si>
  <si>
    <t>9,52</t>
  </si>
  <si>
    <t>3.92</t>
  </si>
  <si>
    <t>788,571.07</t>
  </si>
  <si>
    <t>STONE_7</t>
  </si>
  <si>
    <t>9,43</t>
  </si>
  <si>
    <t>14.15</t>
  </si>
  <si>
    <t>270.00</t>
  </si>
  <si>
    <t>4.25</t>
  </si>
  <si>
    <t>862,499.57</t>
  </si>
  <si>
    <t>STONE_8</t>
  </si>
  <si>
    <t>9,35</t>
  </si>
  <si>
    <t>10.34%</t>
  </si>
  <si>
    <t>15.47</t>
  </si>
  <si>
    <t>4.64</t>
  </si>
  <si>
    <t>951,723.61</t>
  </si>
  <si>
    <t>STONE_9</t>
  </si>
  <si>
    <t>9,26</t>
  </si>
  <si>
    <t>299.04</t>
  </si>
  <si>
    <t>5.13</t>
  </si>
  <si>
    <t>1,061,537.81</t>
  </si>
  <si>
    <t>STONE_10</t>
  </si>
  <si>
    <t>18,35</t>
  </si>
  <si>
    <t>18.18%</t>
  </si>
  <si>
    <t>1,254,545.00</t>
  </si>
  <si>
    <t>STONE_11</t>
  </si>
  <si>
    <t>18,18</t>
  </si>
  <si>
    <t>22.22%</t>
  </si>
  <si>
    <t>24.24</t>
  </si>
  <si>
    <t>1,533,333.33</t>
  </si>
  <si>
    <t>STONE_12</t>
  </si>
  <si>
    <t>46 07100</t>
  </si>
  <si>
    <t>24.14%</t>
  </si>
  <si>
    <t>29.82</t>
  </si>
  <si>
    <t>350.64</t>
  </si>
  <si>
    <t>1,903,447.23</t>
  </si>
  <si>
    <t>STONE_13</t>
  </si>
  <si>
    <t>17,86</t>
  </si>
  <si>
    <t>31.82%</t>
  </si>
  <si>
    <t>38.96</t>
  </si>
  <si>
    <t>11.69</t>
  </si>
  <si>
    <t>2,509,092.73</t>
  </si>
  <si>
    <t>STONE_14</t>
  </si>
  <si>
    <t>17,70</t>
  </si>
  <si>
    <t>37.5%</t>
  </si>
  <si>
    <t>53.10</t>
  </si>
  <si>
    <t>15.93</t>
  </si>
  <si>
    <t>3,450,003.45</t>
  </si>
  <si>
    <t>STONE_15</t>
  </si>
  <si>
    <t>46 29100</t>
  </si>
  <si>
    <t>78.26</t>
  </si>
  <si>
    <t>23.48</t>
  </si>
  <si>
    <t>5,175,005.18</t>
  </si>
  <si>
    <t>1.50</t>
  </si>
  <si>
    <t>3.00</t>
  </si>
  <si>
    <t>525,000.13</t>
  </si>
  <si>
    <t>STEAM_2</t>
  </si>
  <si>
    <t>1.70</t>
  </si>
  <si>
    <t>2.29</t>
  </si>
  <si>
    <t>3.39</t>
  </si>
  <si>
    <t>5.43</t>
  </si>
  <si>
    <t>599,999.83</t>
  </si>
  <si>
    <t>STEAM_3</t>
  </si>
  <si>
    <t>102.04%</t>
  </si>
  <si>
    <t>1.92</t>
  </si>
  <si>
    <t>685,714.51</t>
  </si>
  <si>
    <t>STEAM_4</t>
  </si>
  <si>
    <t>13.95%</t>
  </si>
  <si>
    <t>2.17</t>
  </si>
  <si>
    <t>4.34</t>
  </si>
  <si>
    <t>6.13</t>
  </si>
  <si>
    <t>781,395.64</t>
  </si>
  <si>
    <t>STEAM_5</t>
  </si>
  <si>
    <t>2.37</t>
  </si>
  <si>
    <t>4.73</t>
  </si>
  <si>
    <t>6.86</t>
  </si>
  <si>
    <t>861,538.46</t>
  </si>
  <si>
    <t>STEAM_6</t>
  </si>
  <si>
    <t>2.54</t>
  </si>
  <si>
    <t>7.68</t>
  </si>
  <si>
    <t>933,333.33</t>
  </si>
  <si>
    <t>STEAM_7</t>
  </si>
  <si>
    <t>2.74</t>
  </si>
  <si>
    <t>1,018,181.82</t>
  </si>
  <si>
    <t>STEAM_8</t>
  </si>
  <si>
    <t>2.99</t>
  </si>
  <si>
    <t>5.98</t>
  </si>
  <si>
    <t>9.37</t>
  </si>
  <si>
    <t>1,120,000.00</t>
  </si>
  <si>
    <t>STEAM_9</t>
  </si>
  <si>
    <t>3.29</t>
  </si>
  <si>
    <t>6.58</t>
  </si>
  <si>
    <t>1,244,444.44</t>
  </si>
  <si>
    <t>STEAM_10</t>
  </si>
  <si>
    <t>14.89%</t>
  </si>
  <si>
    <t>3.75</t>
  </si>
  <si>
    <t>7.50</t>
  </si>
  <si>
    <t>1,429,786.75</t>
  </si>
  <si>
    <t>STEAM_11</t>
  </si>
  <si>
    <t>23.68%</t>
  </si>
  <si>
    <t>4.59</t>
  </si>
  <si>
    <t>9.19</t>
  </si>
  <si>
    <t>1,768,420.31</t>
  </si>
  <si>
    <t>STEAM_12</t>
  </si>
  <si>
    <t>26.67%</t>
  </si>
  <si>
    <t>5.77</t>
  </si>
  <si>
    <t>11.53</t>
  </si>
  <si>
    <t>2,240,000.00</t>
  </si>
  <si>
    <t>STEAM_13</t>
  </si>
  <si>
    <t>30.43%</t>
  </si>
  <si>
    <t>7.45</t>
  </si>
  <si>
    <t>14.91</t>
  </si>
  <si>
    <t>2,921,737.10</t>
  </si>
  <si>
    <t>STEAM_14</t>
  </si>
  <si>
    <t>43.75%</t>
  </si>
  <si>
    <t>21.24</t>
  </si>
  <si>
    <t>4,200,004.20</t>
  </si>
  <si>
    <t>STEAM_15</t>
  </si>
  <si>
    <t>31.30</t>
  </si>
  <si>
    <t>6,300,006.30</t>
  </si>
  <si>
    <t>SCREWS_1</t>
  </si>
  <si>
    <t>300,000.00</t>
  </si>
  <si>
    <t>SCREWS_2</t>
  </si>
  <si>
    <t>2,98</t>
  </si>
  <si>
    <t>100.60%</t>
  </si>
  <si>
    <t>37.14%</t>
  </si>
  <si>
    <t>2.38</t>
  </si>
  <si>
    <t>411,428.67</t>
  </si>
  <si>
    <t>SCREWS_3</t>
  </si>
  <si>
    <t>2,96</t>
  </si>
  <si>
    <t>101.29%</t>
  </si>
  <si>
    <t>2.44</t>
  </si>
  <si>
    <t>514,285.57</t>
  </si>
  <si>
    <t>SCREWS_4</t>
  </si>
  <si>
    <t>2,94</t>
  </si>
  <si>
    <t>102.09%</t>
  </si>
  <si>
    <t>2.50</t>
  </si>
  <si>
    <t>626,087.17</t>
  </si>
  <si>
    <t>SCREWS_5</t>
  </si>
  <si>
    <t>2,91</t>
  </si>
  <si>
    <t>103.02%</t>
  </si>
  <si>
    <t>17.95%</t>
  </si>
  <si>
    <t>3.58</t>
  </si>
  <si>
    <t>2.62</t>
  </si>
  <si>
    <t>738,461.54</t>
  </si>
  <si>
    <t>SCREWS_6</t>
  </si>
  <si>
    <t>2,88</t>
  </si>
  <si>
    <t>104.08%</t>
  </si>
  <si>
    <t>14.71%</t>
  </si>
  <si>
    <t>847,059.22</t>
  </si>
  <si>
    <t>2,85</t>
  </si>
  <si>
    <t>105.31%</t>
  </si>
  <si>
    <t>4.56</t>
  </si>
  <si>
    <t>2.71</t>
  </si>
  <si>
    <t>960,000.00</t>
  </si>
  <si>
    <t>SCREWS_8</t>
  </si>
  <si>
    <t>2,81</t>
  </si>
  <si>
    <t>106.72%</t>
  </si>
  <si>
    <t>5.00</t>
  </si>
  <si>
    <t>1,066,666.67</t>
  </si>
  <si>
    <t>SCREWS_9</t>
  </si>
  <si>
    <t>2,77</t>
  </si>
  <si>
    <t>108.36%</t>
  </si>
  <si>
    <t>10.2%</t>
  </si>
  <si>
    <t>5.42</t>
  </si>
  <si>
    <t>2.81</t>
  </si>
  <si>
    <t>1,175,509.44</t>
  </si>
  <si>
    <t>SCREWS_10</t>
  </si>
  <si>
    <t>0,47</t>
  </si>
  <si>
    <t>2,72</t>
  </si>
  <si>
    <t>110.24%</t>
  </si>
  <si>
    <t>8.89%</t>
  </si>
  <si>
    <t>5.81</t>
  </si>
  <si>
    <t>2.84</t>
  </si>
  <si>
    <t>1,280,000.00</t>
  </si>
  <si>
    <t>SCREWS_11</t>
  </si>
  <si>
    <t>2,67</t>
  </si>
  <si>
    <t>112.41%</t>
  </si>
  <si>
    <t>8.87%</t>
  </si>
  <si>
    <t>6.20</t>
  </si>
  <si>
    <t>2.88</t>
  </si>
  <si>
    <t>1,393,546.95</t>
  </si>
  <si>
    <t>SCREWS_12</t>
  </si>
  <si>
    <t>2,61</t>
  </si>
  <si>
    <t>114.92%</t>
  </si>
  <si>
    <t>8.77%</t>
  </si>
  <si>
    <t>6.59</t>
  </si>
  <si>
    <t>2.91</t>
  </si>
  <si>
    <t>1,515,790.75</t>
  </si>
  <si>
    <t>SCREWS_13</t>
  </si>
  <si>
    <t>2,55</t>
  </si>
  <si>
    <t>117.81%</t>
  </si>
  <si>
    <t>7.55%</t>
  </si>
  <si>
    <t>6.92</t>
  </si>
  <si>
    <t>2.94</t>
  </si>
  <si>
    <t>1,630,186.71</t>
  </si>
  <si>
    <t>SCREWS_14</t>
  </si>
  <si>
    <t>2,48</t>
  </si>
  <si>
    <t>121.15%</t>
  </si>
  <si>
    <t>7.13</t>
  </si>
  <si>
    <t>2.97</t>
  </si>
  <si>
    <t>1,728,001.11</t>
  </si>
  <si>
    <t>SCREWS_15</t>
  </si>
  <si>
    <t>2,40</t>
  </si>
  <si>
    <t>1,800,001.80</t>
  </si>
  <si>
    <t>FUEL_1</t>
  </si>
  <si>
    <t>1,650,000</t>
  </si>
  <si>
    <t>1.29</t>
  </si>
  <si>
    <t>707,142.96</t>
  </si>
  <si>
    <t>FUEL_2</t>
  </si>
  <si>
    <t>2,97</t>
  </si>
  <si>
    <t>1.55</t>
  </si>
  <si>
    <t>1.45</t>
  </si>
  <si>
    <t>860,869.42</t>
  </si>
  <si>
    <t>FUEL_3</t>
  </si>
  <si>
    <t>1.76</t>
  </si>
  <si>
    <t>989,999.80</t>
  </si>
  <si>
    <t>FUEL_4</t>
  </si>
  <si>
    <t>1,131,428.83</t>
  </si>
  <si>
    <t>FUEL_5</t>
  </si>
  <si>
    <t>2.31</t>
  </si>
  <si>
    <t>1,320,000.00</t>
  </si>
  <si>
    <t>FUEL_6</t>
  </si>
  <si>
    <t>2,86</t>
  </si>
  <si>
    <t>15.38%</t>
  </si>
  <si>
    <t>2.64</t>
  </si>
  <si>
    <t>1.71</t>
  </si>
  <si>
    <t>1,523,077.39</t>
  </si>
  <si>
    <t>FUEL_7</t>
  </si>
  <si>
    <t>2,83</t>
  </si>
  <si>
    <t>2.95</t>
  </si>
  <si>
    <t>1.85</t>
  </si>
  <si>
    <t>1,721,739.73</t>
  </si>
  <si>
    <t>FUEL_8</t>
  </si>
  <si>
    <t>2,80</t>
  </si>
  <si>
    <t>3.36</t>
  </si>
  <si>
    <t>1,980,000.79</t>
  </si>
  <si>
    <t>FUEL_9</t>
  </si>
  <si>
    <t>2,78</t>
  </si>
  <si>
    <t>2,200,000.00</t>
  </si>
  <si>
    <t>FUEL_10</t>
  </si>
  <si>
    <t>2,75</t>
  </si>
  <si>
    <t>4.13</t>
  </si>
  <si>
    <t>2.40</t>
  </si>
  <si>
    <t>2,474,998.76</t>
  </si>
  <si>
    <t>FUEL_11</t>
  </si>
  <si>
    <t>2,73</t>
  </si>
  <si>
    <t>4.68</t>
  </si>
  <si>
    <t>2,828,573.04</t>
  </si>
  <si>
    <t>FUEL_12</t>
  </si>
  <si>
    <t>2,70</t>
  </si>
  <si>
    <t>5.41</t>
  </si>
  <si>
    <t>3.69</t>
  </si>
  <si>
    <t>3,300,000.00</t>
  </si>
  <si>
    <t>FUEL_13</t>
  </si>
  <si>
    <t>2,68</t>
  </si>
  <si>
    <t>3,771,428.57</t>
  </si>
  <si>
    <t>FUEL_14</t>
  </si>
  <si>
    <t>2,65</t>
  </si>
  <si>
    <t>4,400,000.00</t>
  </si>
  <si>
    <t>7.83</t>
  </si>
  <si>
    <t>9.00</t>
  </si>
  <si>
    <t>4,950,004.95</t>
  </si>
  <si>
    <t>CEMENT_1</t>
  </si>
  <si>
    <t>2,000,000</t>
  </si>
  <si>
    <t>0.86</t>
  </si>
  <si>
    <t>749,999.91</t>
  </si>
  <si>
    <t>CEMENT_2</t>
  </si>
  <si>
    <t>4.57</t>
  </si>
  <si>
    <t>5.88</t>
  </si>
  <si>
    <t>1.37</t>
  </si>
  <si>
    <t>1.26</t>
  </si>
  <si>
    <t>923,076.78</t>
  </si>
  <si>
    <t>CEMENT_3</t>
  </si>
  <si>
    <t>15.56%</t>
  </si>
  <si>
    <t>5.23</t>
  </si>
  <si>
    <t>1.57</t>
  </si>
  <si>
    <t>CEMENT_4</t>
  </si>
  <si>
    <t>5.97</t>
  </si>
  <si>
    <t>6.55</t>
  </si>
  <si>
    <t>1.79</t>
  </si>
  <si>
    <t>1,230,769.23</t>
  </si>
  <si>
    <t>CEMENT_5</t>
  </si>
  <si>
    <t>6.79</t>
  </si>
  <si>
    <t>6.62</t>
  </si>
  <si>
    <t>1,411,764.37</t>
  </si>
  <si>
    <t>7.62</t>
  </si>
  <si>
    <t>1,600,000.00</t>
  </si>
  <si>
    <t>CEMENT_7</t>
  </si>
  <si>
    <t>8.39</t>
  </si>
  <si>
    <t>7.38</t>
  </si>
  <si>
    <t>2.52</t>
  </si>
  <si>
    <t>1.66</t>
  </si>
  <si>
    <t>1,777,777.78</t>
  </si>
  <si>
    <t>CEMENT_8</t>
  </si>
  <si>
    <t>9.35</t>
  </si>
  <si>
    <t>8.17</t>
  </si>
  <si>
    <t>2,000,000.00</t>
  </si>
  <si>
    <t>CEMENT_9</t>
  </si>
  <si>
    <t>8.93</t>
  </si>
  <si>
    <t>3.17</t>
  </si>
  <si>
    <t>2,285,714.29</t>
  </si>
  <si>
    <t>CEMENT_10</t>
  </si>
  <si>
    <t>9,17</t>
  </si>
  <si>
    <t>12.23</t>
  </si>
  <si>
    <t>3.67</t>
  </si>
  <si>
    <t>2,666,666.67</t>
  </si>
  <si>
    <t>CEMENT_11</t>
  </si>
  <si>
    <t>46 27400</t>
  </si>
  <si>
    <t>14.55</t>
  </si>
  <si>
    <t>10.91</t>
  </si>
  <si>
    <t>4.36</t>
  </si>
  <si>
    <t>3.31</t>
  </si>
  <si>
    <t>3,200,000.00</t>
  </si>
  <si>
    <t>CEMENT_12</t>
  </si>
  <si>
    <t>46 03100</t>
  </si>
  <si>
    <t>17.30</t>
  </si>
  <si>
    <t>12.31</t>
  </si>
  <si>
    <t>5.19</t>
  </si>
  <si>
    <t>3,840,002.46</t>
  </si>
  <si>
    <t>CEMENT_13</t>
  </si>
  <si>
    <t>8,93</t>
  </si>
  <si>
    <t>20.41</t>
  </si>
  <si>
    <t>4,571,428.57</t>
  </si>
  <si>
    <t>CEMENT_14</t>
  </si>
  <si>
    <t>8,85</t>
  </si>
  <si>
    <t>23.60</t>
  </si>
  <si>
    <t>15.00</t>
  </si>
  <si>
    <t>5,333,333.33</t>
  </si>
  <si>
    <t>CEMENT_15</t>
  </si>
  <si>
    <t>8,70</t>
  </si>
  <si>
    <t>6,000,006.00</t>
  </si>
  <si>
    <t>OIL_1</t>
  </si>
  <si>
    <t>3,500,000</t>
  </si>
  <si>
    <t>0.75</t>
  </si>
  <si>
    <t>0.43</t>
  </si>
  <si>
    <t>875,000.00</t>
  </si>
  <si>
    <t>OIL_2</t>
  </si>
  <si>
    <t>101.18%</t>
  </si>
  <si>
    <t>0.99</t>
  </si>
  <si>
    <t>0.69</t>
  </si>
  <si>
    <t>1,166,666.67</t>
  </si>
  <si>
    <t>OIL_3</t>
  </si>
  <si>
    <t>2,93</t>
  </si>
  <si>
    <t>102.46%</t>
  </si>
  <si>
    <t>28.57%</t>
  </si>
  <si>
    <t>1,500,000.21</t>
  </si>
  <si>
    <t>OIL_4</t>
  </si>
  <si>
    <t>2,89</t>
  </si>
  <si>
    <t>103.85%</t>
  </si>
  <si>
    <t>1.51</t>
  </si>
  <si>
    <t>1.20</t>
  </si>
  <si>
    <t>1,826,086.64</t>
  </si>
  <si>
    <t>OIL_5</t>
  </si>
  <si>
    <t>105.36%</t>
  </si>
  <si>
    <t>21.05%</t>
  </si>
  <si>
    <t>1.80</t>
  </si>
  <si>
    <t>2,210,526.78</t>
  </si>
  <si>
    <t>OIL_6</t>
  </si>
  <si>
    <t>106.99%</t>
  </si>
  <si>
    <t>18.75%</t>
  </si>
  <si>
    <t>2,625,000.66</t>
  </si>
  <si>
    <t>OIL_7</t>
  </si>
  <si>
    <t>2,76</t>
  </si>
  <si>
    <t>108.76%</t>
  </si>
  <si>
    <t>2.55</t>
  </si>
  <si>
    <t>3,230,770.22</t>
  </si>
  <si>
    <t>OIL_8</t>
  </si>
  <si>
    <t>2,71</t>
  </si>
  <si>
    <t>110.67%</t>
  </si>
  <si>
    <t>3.25</t>
  </si>
  <si>
    <t>4,200,001.68</t>
  </si>
  <si>
    <t>OIL_9</t>
  </si>
  <si>
    <t>2,66</t>
  </si>
  <si>
    <t>112.75%</t>
  </si>
  <si>
    <t>4.26</t>
  </si>
  <si>
    <t>5,600,000.00</t>
  </si>
  <si>
    <t>OIL_10</t>
  </si>
  <si>
    <t>6.26</t>
  </si>
  <si>
    <t>8,399,993.28</t>
  </si>
  <si>
    <t>ACID_1</t>
  </si>
  <si>
    <t>4,000,000</t>
  </si>
  <si>
    <t>0.44</t>
  </si>
  <si>
    <t>0.50</t>
  </si>
  <si>
    <t>888,888.89</t>
  </si>
  <si>
    <t>ACID_2</t>
  </si>
  <si>
    <t>38.46%</t>
  </si>
  <si>
    <t>0.61</t>
  </si>
  <si>
    <t>1.23</t>
  </si>
  <si>
    <t>ACID_3</t>
  </si>
  <si>
    <t>1,95</t>
  </si>
  <si>
    <t>27.87%</t>
  </si>
  <si>
    <t>0.77</t>
  </si>
  <si>
    <t>1,573,770.29</t>
  </si>
  <si>
    <t>1,93</t>
  </si>
  <si>
    <t>0.92</t>
  </si>
  <si>
    <t>1.78</t>
  </si>
  <si>
    <t>1,920,000.31</t>
  </si>
  <si>
    <t>ACID_5</t>
  </si>
  <si>
    <t>21.95%</t>
  </si>
  <si>
    <t>1.96</t>
  </si>
  <si>
    <t>2,341,463.87</t>
  </si>
  <si>
    <t>ACID_6</t>
  </si>
  <si>
    <t>20.59%</t>
  </si>
  <si>
    <t>1.32</t>
  </si>
  <si>
    <t>2.32</t>
  </si>
  <si>
    <t>2,823,528.75</t>
  </si>
  <si>
    <t>ACID_7</t>
  </si>
  <si>
    <t>1,84</t>
  </si>
  <si>
    <t>25.93%</t>
  </si>
  <si>
    <t>1.63</t>
  </si>
  <si>
    <t>2.53</t>
  </si>
  <si>
    <t>3,555,555.56</t>
  </si>
  <si>
    <t>ACID_8</t>
  </si>
  <si>
    <t>1,81</t>
  </si>
  <si>
    <t>2.72</t>
  </si>
  <si>
    <t>ACID_9</t>
  </si>
  <si>
    <t>1,77</t>
  </si>
  <si>
    <t>6,400,000.00</t>
  </si>
  <si>
    <t>ACID_10</t>
  </si>
  <si>
    <t>1,74</t>
  </si>
  <si>
    <t>4.17</t>
  </si>
  <si>
    <t>9,599,992.32</t>
  </si>
  <si>
    <t>SULFUR_1</t>
  </si>
  <si>
    <t>4,500,000</t>
  </si>
  <si>
    <t>7,91</t>
  </si>
  <si>
    <t>42.86%</t>
  </si>
  <si>
    <t>2.26</t>
  </si>
  <si>
    <t>2.82</t>
  </si>
  <si>
    <t>7.58</t>
  </si>
  <si>
    <t>1,285,714.29</t>
  </si>
  <si>
    <t>SULFUR_3</t>
  </si>
  <si>
    <t>7,81</t>
  </si>
  <si>
    <t>27.27%</t>
  </si>
  <si>
    <t>3.55</t>
  </si>
  <si>
    <t>1,636,363.64</t>
  </si>
  <si>
    <t>SULFUR_4</t>
  </si>
  <si>
    <t>7,70</t>
  </si>
  <si>
    <t>3.42</t>
  </si>
  <si>
    <t>4.28</t>
  </si>
  <si>
    <t>SULFUR_5</t>
  </si>
  <si>
    <t>7,59</t>
  </si>
  <si>
    <t>22.73%</t>
  </si>
  <si>
    <t>4.14</t>
  </si>
  <si>
    <t>5.18</t>
  </si>
  <si>
    <t>2,454,545.90</t>
  </si>
  <si>
    <t>SULFUR_6</t>
  </si>
  <si>
    <t>7,48</t>
  </si>
  <si>
    <t>4.98</t>
  </si>
  <si>
    <t>6.23</t>
  </si>
  <si>
    <t>3,000,000.00</t>
  </si>
  <si>
    <t>SULFUR_7</t>
  </si>
  <si>
    <t>7,36</t>
  </si>
  <si>
    <t>6.30</t>
  </si>
  <si>
    <t>7.88</t>
  </si>
  <si>
    <t>3,857,141.76</t>
  </si>
  <si>
    <t>SULFUR_8</t>
  </si>
  <si>
    <t>7,23</t>
  </si>
  <si>
    <t>8.26</t>
  </si>
  <si>
    <t>10.33</t>
  </si>
  <si>
    <t>5,142,857.14</t>
  </si>
  <si>
    <t>SULFUR_9</t>
  </si>
  <si>
    <t>46 30200</t>
  </si>
  <si>
    <t>14.19</t>
  </si>
  <si>
    <t>7,200,000.00</t>
  </si>
  <si>
    <t>SULFUR_10</t>
  </si>
  <si>
    <t>6,96</t>
  </si>
  <si>
    <t>16.70</t>
  </si>
  <si>
    <t>20.87</t>
  </si>
  <si>
    <t>10,799,991.36</t>
  </si>
  <si>
    <t>PLASTICS_1</t>
  </si>
  <si>
    <t>6,750,000</t>
  </si>
  <si>
    <t>0.22</t>
  </si>
  <si>
    <t>964,285.71</t>
  </si>
  <si>
    <t>PLASTICS_2</t>
  </si>
  <si>
    <t>0.59</t>
  </si>
  <si>
    <t>0.89</t>
  </si>
  <si>
    <t>PLASTICS_3</t>
  </si>
  <si>
    <t>36.36%</t>
  </si>
  <si>
    <t>0.80</t>
  </si>
  <si>
    <t>0.53</t>
  </si>
  <si>
    <t>0.48</t>
  </si>
  <si>
    <t>1,840,908.92</t>
  </si>
  <si>
    <t>0.72</t>
  </si>
  <si>
    <t>2,531,249.68</t>
  </si>
  <si>
    <t>PLASTICS_5</t>
  </si>
  <si>
    <t>1.42</t>
  </si>
  <si>
    <t>1.14</t>
  </si>
  <si>
    <t>0.95</t>
  </si>
  <si>
    <t>3,375,000.00</t>
  </si>
  <si>
    <t>PLASTICS_6</t>
  </si>
  <si>
    <t>1.87</t>
  </si>
  <si>
    <t>1.33</t>
  </si>
  <si>
    <t>0.71</t>
  </si>
  <si>
    <t>4,500,000.00</t>
  </si>
  <si>
    <t>PLASTICS_7</t>
  </si>
  <si>
    <t>2.36</t>
  </si>
  <si>
    <t>1.58</t>
  </si>
  <si>
    <t>5,785,712.63</t>
  </si>
  <si>
    <t>PLASTICS_8</t>
  </si>
  <si>
    <t>2.96</t>
  </si>
  <si>
    <t>1.97</t>
  </si>
  <si>
    <t>7,363,633.69</t>
  </si>
  <si>
    <t>PLASTICS_9</t>
  </si>
  <si>
    <t>29.41%</t>
  </si>
  <si>
    <t>3.76</t>
  </si>
  <si>
    <t>9,529,416.25</t>
  </si>
  <si>
    <t>PLASTICS_10</t>
  </si>
  <si>
    <t>5.22</t>
  </si>
  <si>
    <t>3.48</t>
  </si>
  <si>
    <t>13,500,000.00</t>
  </si>
  <si>
    <t>FIBERGLASS_1</t>
  </si>
  <si>
    <t>8,000,000</t>
  </si>
  <si>
    <t>0.20</t>
  </si>
  <si>
    <t>1,000,000.00</t>
  </si>
  <si>
    <t>9,88</t>
  </si>
  <si>
    <t>45.45%</t>
  </si>
  <si>
    <t>3.51</t>
  </si>
  <si>
    <t>1,454,545.45</t>
  </si>
  <si>
    <t>FIBERGLASS_3</t>
  </si>
  <si>
    <t>9,76</t>
  </si>
  <si>
    <t>43.48%</t>
  </si>
  <si>
    <t>0.51</t>
  </si>
  <si>
    <t>2,086,956.70</t>
  </si>
  <si>
    <t>FIBERGLASS_4</t>
  </si>
  <si>
    <t>9,63</t>
  </si>
  <si>
    <t>3.61</t>
  </si>
  <si>
    <t>3.62</t>
  </si>
  <si>
    <t>2,999,999.63</t>
  </si>
  <si>
    <t>FIBERGLASS_5</t>
  </si>
  <si>
    <t>9,49</t>
  </si>
  <si>
    <t>4.75</t>
  </si>
  <si>
    <t>0.55</t>
  </si>
  <si>
    <t>4,000,000.00</t>
  </si>
  <si>
    <t>FIBERGLASS_6</t>
  </si>
  <si>
    <t>0.67</t>
  </si>
  <si>
    <t>FIBERGLASS_7</t>
  </si>
  <si>
    <t>9,19</t>
  </si>
  <si>
    <t>5.71</t>
  </si>
  <si>
    <t>6,857,140.90</t>
  </si>
  <si>
    <t>FIBERGLASS_8</t>
  </si>
  <si>
    <t>9</t>
  </si>
  <si>
    <t>9.86</t>
  </si>
  <si>
    <t>8.28</t>
  </si>
  <si>
    <t>8,727,269.55</t>
  </si>
  <si>
    <t>FIBERGLASS_9</t>
  </si>
  <si>
    <t>8,87</t>
  </si>
  <si>
    <t>11,294,122.96</t>
  </si>
  <si>
    <t>FIBERGLASS_10</t>
  </si>
  <si>
    <t>17.39</t>
  </si>
  <si>
    <t>16,000,000.00</t>
  </si>
  <si>
    <t>ENERGY_1</t>
  </si>
  <si>
    <t>1,000,000</t>
  </si>
  <si>
    <t>9,250,000</t>
  </si>
  <si>
    <t>1,027,777.78</t>
  </si>
  <si>
    <t>ENERGY_2</t>
  </si>
  <si>
    <t>11.86</t>
  </si>
  <si>
    <t>1,541,666.67</t>
  </si>
  <si>
    <t>ENERGY_3</t>
  </si>
  <si>
    <t>0.49</t>
  </si>
  <si>
    <t>0.52</t>
  </si>
  <si>
    <t>17.57</t>
  </si>
  <si>
    <t>2,312,500.00</t>
  </si>
  <si>
    <t>ENERGY_4</t>
  </si>
  <si>
    <t>26.00</t>
  </si>
  <si>
    <t>3,468,749.57</t>
  </si>
  <si>
    <t>0.63</t>
  </si>
  <si>
    <t>34.17</t>
  </si>
  <si>
    <t>4,625,000.00</t>
  </si>
  <si>
    <t>ENERGY_6</t>
  </si>
  <si>
    <t>44.86</t>
  </si>
  <si>
    <t>6,166,666.67</t>
  </si>
  <si>
    <t>ENERGY_7</t>
  </si>
  <si>
    <t>56.74</t>
  </si>
  <si>
    <t>63.94</t>
  </si>
  <si>
    <t>7,928,569.16</t>
  </si>
  <si>
    <t>ENERGY_8</t>
  </si>
  <si>
    <t>70.97</t>
  </si>
  <si>
    <t>10,090,905.42</t>
  </si>
  <si>
    <t>ENERGY_9</t>
  </si>
  <si>
    <t>90.15</t>
  </si>
  <si>
    <t>13,058,829.67</t>
  </si>
  <si>
    <t>ENERGY_10</t>
  </si>
  <si>
    <t>18,500,000.00</t>
  </si>
  <si>
    <t>HYDROGEN_1</t>
  </si>
  <si>
    <t>7,00</t>
  </si>
  <si>
    <t>1,250,000</t>
  </si>
  <si>
    <t>12,500,000</t>
  </si>
  <si>
    <t>0.70</t>
  </si>
  <si>
    <t>0.11</t>
  </si>
  <si>
    <t>1,250,000.00</t>
  </si>
  <si>
    <t>HYDROGEN_2</t>
  </si>
  <si>
    <t>6,80</t>
  </si>
  <si>
    <t>66.67%</t>
  </si>
  <si>
    <t>1.13</t>
  </si>
  <si>
    <t>2,083,333.33</t>
  </si>
  <si>
    <t>HYDROGEN_3</t>
  </si>
  <si>
    <t>6,60</t>
  </si>
  <si>
    <t>2.20</t>
  </si>
  <si>
    <t>4,166,666.67</t>
  </si>
  <si>
    <t>HYDROGEN_4</t>
  </si>
  <si>
    <t>6,36</t>
  </si>
  <si>
    <t>3.82</t>
  </si>
  <si>
    <t>7,499,998.50</t>
  </si>
  <si>
    <t>6</t>
  </si>
  <si>
    <t>1.74</t>
  </si>
  <si>
    <t>12,500,000.00</t>
  </si>
  <si>
    <t>DYNAMITE_1</t>
  </si>
  <si>
    <t>20,000,000</t>
  </si>
  <si>
    <t>0.21</t>
  </si>
  <si>
    <t>0.13</t>
  </si>
  <si>
    <t>0.14</t>
  </si>
  <si>
    <t>1,428,571.43</t>
  </si>
  <si>
    <t>DYNAMITE_2</t>
  </si>
  <si>
    <t>0.24</t>
  </si>
  <si>
    <t>2,500,000.00</t>
  </si>
  <si>
    <t>DYNAMITE_3</t>
  </si>
  <si>
    <t>0.47</t>
  </si>
  <si>
    <t>5,000,000.00</t>
  </si>
  <si>
    <t>DYNAMITE_4</t>
  </si>
  <si>
    <t>1.36</t>
  </si>
  <si>
    <t>0.91</t>
  </si>
  <si>
    <t>10,000,000.00</t>
  </si>
  <si>
    <t>2.61</t>
  </si>
  <si>
    <t>20,000,000.00</t>
  </si>
  <si>
    <t>k power prod</t>
  </si>
  <si>
    <t>fuel conso</t>
  </si>
  <si>
    <t>cout/kpower</t>
  </si>
  <si>
    <t>k prod</t>
  </si>
  <si>
    <t>kw/h</t>
  </si>
  <si>
    <t>prix</t>
  </si>
  <si>
    <t>kcoin/kw</t>
  </si>
  <si>
    <t>6k/h</t>
  </si>
  <si>
    <t>prix en coin/sand</t>
  </si>
  <si>
    <t>prix en coin/mud</t>
  </si>
  <si>
    <t>mine</t>
  </si>
  <si>
    <t>mud</t>
  </si>
  <si>
    <t>clay</t>
  </si>
  <si>
    <t>sand</t>
  </si>
  <si>
    <t>copper</t>
  </si>
  <si>
    <t>steel</t>
  </si>
  <si>
    <t>screw</t>
  </si>
  <si>
    <t>renta mines</t>
  </si>
  <si>
    <t>ceramic</t>
  </si>
  <si>
    <t>roc</t>
  </si>
  <si>
    <t>renta Water</t>
  </si>
  <si>
    <t xml:space="preserve">water </t>
  </si>
  <si>
    <t>seawater 30</t>
  </si>
  <si>
    <t>seawater 19</t>
  </si>
  <si>
    <t>alga</t>
  </si>
  <si>
    <t>par 12h</t>
  </si>
  <si>
    <t>oxy</t>
  </si>
  <si>
    <t>gas</t>
  </si>
  <si>
    <t>fuel</t>
  </si>
  <si>
    <t>2,55 ou 2,48</t>
  </si>
  <si>
    <t>oil</t>
  </si>
  <si>
    <t>fuel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</si>
</sst>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0"/>
    <numFmt numFmtId="165" formatCode="dd.mm"/>
    <numFmt numFmtId="166" formatCode="d.m"/>
    <numFmt numFmtId="167" formatCode="HH:mm:ss"/>
    <numFmt numFmtId="168" formatCode="#,##0.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B31412"/>
      <name val="'Roboto Mono'"/>
    </font>
    <font>
      <color rgb="FF434343"/>
      <name val="Roboto"/>
    </font>
    <font>
      <b/>
      <color theme="1"/>
      <name val="Roboto"/>
    </font>
    <font>
      <b/>
      <i/>
      <u/>
      <color theme="1"/>
      <name val="Roboto"/>
    </font>
    <font>
      <b/>
      <i/>
      <u/>
      <color theme="1"/>
      <name val="Roboto"/>
    </font>
    <font>
      <b/>
      <i/>
      <u/>
      <color theme="1"/>
      <name val="Roboto"/>
    </font>
    <font>
      <b/>
      <i/>
      <u/>
      <color theme="1"/>
      <name val="Roboto"/>
    </font>
    <font>
      <b/>
      <i/>
      <u/>
      <color theme="1"/>
      <name val="Roboto"/>
    </font>
    <font>
      <b/>
      <i/>
      <u/>
      <color theme="1"/>
      <name val="Roboto"/>
    </font>
    <font>
      <color theme="1"/>
      <name val="Arial"/>
    </font>
    <font>
      <i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57BB8A"/>
        <bgColor rgb="FF57BB8A"/>
      </patternFill>
    </fill>
    <fill>
      <patternFill patternType="solid">
        <fgColor rgb="FFF8F9FA"/>
        <bgColor rgb="FFF8F9FA"/>
      </patternFill>
    </fill>
    <fill>
      <patternFill patternType="solid">
        <fgColor rgb="FFD9D2E9"/>
        <bgColor rgb="FFD9D2E9"/>
      </patternFill>
    </fill>
    <fill>
      <patternFill patternType="solid">
        <fgColor rgb="FFBBADDE"/>
        <bgColor rgb="FFBBADDE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442F65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442F65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center" wrapText="0"/>
    </xf>
    <xf borderId="0" fillId="2" fontId="2" numFmtId="4" xfId="0" applyAlignment="1" applyFont="1" applyNumberFormat="1">
      <alignment readingOrder="0" shrinkToFit="0" vertical="center" wrapText="0"/>
    </xf>
    <xf borderId="0" fillId="2" fontId="2" numFmtId="164" xfId="0" applyAlignment="1" applyFont="1" applyNumberFormat="1">
      <alignment shrinkToFit="0" vertical="center" wrapText="0"/>
    </xf>
    <xf borderId="0" fillId="2" fontId="2" numFmtId="4" xfId="0" applyAlignment="1" applyFont="1" applyNumberFormat="1">
      <alignment shrinkToFit="0" vertical="center" wrapText="0"/>
    </xf>
    <xf borderId="0" fillId="2" fontId="2" numFmtId="4" xfId="0" applyFont="1" applyNumberFormat="1"/>
    <xf borderId="0" fillId="2" fontId="2" numFmtId="0" xfId="0" applyAlignment="1" applyFont="1">
      <alignment readingOrder="0"/>
    </xf>
    <xf borderId="0" fillId="2" fontId="2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4" fontId="1" numFmtId="4" xfId="0" applyAlignment="1" applyFill="1" applyFont="1" applyNumberFormat="1">
      <alignment shrinkToFit="0" vertical="center" wrapText="0"/>
    </xf>
    <xf borderId="0" fillId="3" fontId="1" numFmtId="4" xfId="0" applyAlignment="1" applyFont="1" applyNumberFormat="1">
      <alignment readingOrder="0" shrinkToFit="0" vertical="center" wrapText="0"/>
    </xf>
    <xf borderId="0" fillId="5" fontId="1" numFmtId="0" xfId="0" applyAlignment="1" applyFill="1" applyFont="1">
      <alignment readingOrder="0"/>
    </xf>
    <xf borderId="0" fillId="6" fontId="1" numFmtId="4" xfId="0" applyFill="1" applyFont="1" applyNumberFormat="1"/>
    <xf borderId="0" fillId="7" fontId="3" numFmtId="0" xfId="0" applyAlignment="1" applyFill="1" applyFont="1">
      <alignment readingOrder="0"/>
    </xf>
    <xf borderId="0" fillId="8" fontId="4" numFmtId="0" xfId="0" applyAlignment="1" applyFill="1" applyFont="1">
      <alignment horizontal="left" readingOrder="0" shrinkToFit="0" vertical="center" wrapText="0"/>
    </xf>
    <xf borderId="1" fillId="8" fontId="4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0" xfId="0" applyFont="1"/>
    <xf borderId="0" fillId="0" fontId="5" numFmtId="49" xfId="0" applyAlignment="1" applyFont="1" applyNumberForma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7" numFmtId="49" xfId="0" applyAlignment="1" applyFont="1" applyNumberFormat="1">
      <alignment horizontal="left" readingOrder="0" shrinkToFit="0" wrapText="1"/>
    </xf>
    <xf borderId="0" fillId="0" fontId="8" numFmtId="4" xfId="0" applyAlignment="1" applyFont="1" applyNumberFormat="1">
      <alignment horizontal="left" readingOrder="0" shrinkToFit="0" wrapText="1"/>
    </xf>
    <xf borderId="0" fillId="2" fontId="9" numFmtId="4" xfId="0" applyAlignment="1" applyFont="1" applyNumberFormat="1">
      <alignment horizontal="left" readingOrder="0" shrinkToFit="0" wrapText="1"/>
    </xf>
    <xf borderId="0" fillId="0" fontId="10" numFmtId="49" xfId="0" applyAlignment="1" applyFont="1" applyNumberFormat="1">
      <alignment horizontal="left" readingOrder="0" shrinkToFit="0" wrapText="1"/>
    </xf>
    <xf borderId="0" fillId="0" fontId="11" numFmtId="3" xfId="0" applyAlignment="1" applyFont="1" applyNumberFormat="1">
      <alignment horizontal="left" readingOrder="0" shrinkToFit="0" wrapText="1"/>
    </xf>
    <xf borderId="0" fillId="0" fontId="5" numFmtId="1" xfId="0" applyAlignment="1" applyFont="1" applyNumberFormat="1">
      <alignment horizontal="left" readingOrder="0" shrinkToFit="0" wrapText="1"/>
    </xf>
    <xf borderId="0" fillId="0" fontId="5" numFmtId="2" xfId="0" applyAlignment="1" applyFont="1" applyNumberFormat="1">
      <alignment horizontal="left" readingOrder="0" shrinkToFit="0" wrapText="1"/>
    </xf>
    <xf borderId="0" fillId="0" fontId="1" numFmtId="0" xfId="0" applyAlignment="1" applyFont="1">
      <alignment horizontal="left"/>
    </xf>
    <xf borderId="1" fillId="8" fontId="4" numFmtId="49" xfId="0" applyAlignment="1" applyBorder="1" applyFont="1" applyNumberFormat="1">
      <alignment horizontal="center" readingOrder="0" shrinkToFit="0" wrapText="0"/>
    </xf>
    <xf borderId="2" fillId="8" fontId="4" numFmtId="0" xfId="0" applyAlignment="1" applyBorder="1" applyFont="1">
      <alignment horizontal="center" readingOrder="0" shrinkToFit="0" wrapText="0"/>
    </xf>
    <xf borderId="2" fillId="8" fontId="4" numFmtId="46" xfId="0" applyAlignment="1" applyBorder="1" applyFont="1" applyNumberFormat="1">
      <alignment horizontal="center" readingOrder="0" shrinkToFit="0" wrapText="0"/>
    </xf>
    <xf borderId="2" fillId="8" fontId="4" numFmtId="4" xfId="0" applyAlignment="1" applyBorder="1" applyFont="1" applyNumberFormat="1">
      <alignment horizontal="center" readingOrder="0" shrinkToFit="0" wrapText="0"/>
    </xf>
    <xf borderId="2" fillId="2" fontId="4" numFmtId="4" xfId="0" applyAlignment="1" applyBorder="1" applyFont="1" applyNumberFormat="1">
      <alignment horizontal="center" readingOrder="0" shrinkToFit="0" wrapText="0"/>
    </xf>
    <xf borderId="2" fillId="8" fontId="4" numFmtId="49" xfId="0" applyAlignment="1" applyBorder="1" applyFont="1" applyNumberFormat="1">
      <alignment horizontal="center" readingOrder="0" shrinkToFit="0" wrapText="0"/>
    </xf>
    <xf borderId="2" fillId="8" fontId="4" numFmtId="4" xfId="0" applyAlignment="1" applyBorder="1" applyFont="1" applyNumberFormat="1">
      <alignment horizontal="right" readingOrder="0" shrinkToFit="0" wrapText="0"/>
    </xf>
    <xf borderId="2" fillId="8" fontId="4" numFmtId="49" xfId="0" applyAlignment="1" applyBorder="1" applyFont="1" applyNumberFormat="1">
      <alignment horizontal="right" readingOrder="0" shrinkToFit="0" wrapText="0"/>
    </xf>
    <xf borderId="2" fillId="8" fontId="12" numFmtId="49" xfId="0" applyBorder="1" applyFont="1" applyNumberFormat="1"/>
    <xf borderId="2" fillId="8" fontId="4" numFmtId="3" xfId="0" applyAlignment="1" applyBorder="1" applyFont="1" applyNumberFormat="1">
      <alignment horizontal="center" readingOrder="0" shrinkToFit="0" wrapText="0"/>
    </xf>
    <xf borderId="2" fillId="8" fontId="12" numFmtId="1" xfId="0" applyBorder="1" applyFont="1" applyNumberFormat="1"/>
    <xf borderId="3" fillId="8" fontId="12" numFmtId="1" xfId="0" applyBorder="1" applyFont="1" applyNumberFormat="1"/>
    <xf borderId="0" fillId="8" fontId="13" numFmtId="49" xfId="0" applyAlignment="1" applyFont="1" applyNumberFormat="1">
      <alignment readingOrder="0"/>
    </xf>
    <xf borderId="4" fillId="8" fontId="12" numFmtId="4" xfId="0" applyBorder="1" applyFont="1" applyNumberFormat="1"/>
    <xf borderId="4" fillId="8" fontId="4" numFmtId="49" xfId="0" applyAlignment="1" applyBorder="1" applyFont="1" applyNumberFormat="1">
      <alignment horizontal="center" readingOrder="0" shrinkToFit="0" wrapText="0"/>
    </xf>
    <xf borderId="4" fillId="8" fontId="4" numFmtId="2" xfId="0" applyAlignment="1" applyBorder="1" applyFont="1" applyNumberFormat="1">
      <alignment horizontal="center" readingOrder="0" shrinkToFit="0" wrapText="0"/>
    </xf>
    <xf borderId="5" fillId="8" fontId="4" numFmtId="10" xfId="0" applyAlignment="1" applyBorder="1" applyFont="1" applyNumberFormat="1">
      <alignment horizontal="center" readingOrder="0" shrinkToFit="0" wrapText="0"/>
    </xf>
    <xf borderId="5" fillId="8" fontId="4" numFmtId="4" xfId="0" applyAlignment="1" applyBorder="1" applyFont="1" applyNumberFormat="1">
      <alignment horizontal="center" readingOrder="0" shrinkToFit="0" wrapText="0"/>
    </xf>
    <xf borderId="4" fillId="8" fontId="12" numFmtId="49" xfId="0" applyBorder="1" applyFont="1" applyNumberFormat="1"/>
    <xf borderId="5" fillId="8" fontId="12" numFmtId="49" xfId="0" applyBorder="1" applyFont="1" applyNumberFormat="1"/>
    <xf borderId="6" fillId="8" fontId="12" numFmtId="49" xfId="0" applyBorder="1" applyFont="1" applyNumberFormat="1"/>
    <xf borderId="1" fillId="9" fontId="4" numFmtId="0" xfId="0" applyAlignment="1" applyBorder="1" applyFill="1" applyFont="1">
      <alignment horizontal="center" readingOrder="0" shrinkToFit="0" wrapText="0"/>
    </xf>
    <xf borderId="2" fillId="9" fontId="4" numFmtId="0" xfId="0" applyAlignment="1" applyBorder="1" applyFont="1">
      <alignment horizontal="center" readingOrder="0" shrinkToFit="0" wrapText="0"/>
    </xf>
    <xf borderId="2" fillId="9" fontId="4" numFmtId="46" xfId="0" applyAlignment="1" applyBorder="1" applyFont="1" applyNumberFormat="1">
      <alignment horizontal="center" readingOrder="0" shrinkToFit="0" wrapText="0"/>
    </xf>
    <xf borderId="2" fillId="9" fontId="4" numFmtId="4" xfId="0" applyAlignment="1" applyBorder="1" applyFont="1" applyNumberFormat="1">
      <alignment horizontal="center" readingOrder="0" shrinkToFit="0" wrapText="0"/>
    </xf>
    <xf borderId="2" fillId="9" fontId="4" numFmtId="4" xfId="0" applyAlignment="1" applyBorder="1" applyFont="1" applyNumberFormat="1">
      <alignment horizontal="right" readingOrder="0" shrinkToFit="0" wrapText="0"/>
    </xf>
    <xf borderId="2" fillId="9" fontId="4" numFmtId="49" xfId="0" applyAlignment="1" applyBorder="1" applyFont="1" applyNumberFormat="1">
      <alignment horizontal="right" readingOrder="0" shrinkToFit="0" wrapText="0"/>
    </xf>
    <xf borderId="2" fillId="9" fontId="12" numFmtId="4" xfId="0" applyBorder="1" applyFont="1" applyNumberFormat="1"/>
    <xf borderId="2" fillId="9" fontId="4" numFmtId="3" xfId="0" applyAlignment="1" applyBorder="1" applyFont="1" applyNumberFormat="1">
      <alignment horizontal="center" readingOrder="0" shrinkToFit="0" wrapText="0"/>
    </xf>
    <xf borderId="2" fillId="9" fontId="4" numFmtId="49" xfId="0" applyAlignment="1" applyBorder="1" applyFont="1" applyNumberFormat="1">
      <alignment horizontal="center" readingOrder="0" shrinkToFit="0" wrapText="0"/>
    </xf>
    <xf borderId="2" fillId="9" fontId="12" numFmtId="1" xfId="0" applyBorder="1" applyFont="1" applyNumberFormat="1"/>
    <xf borderId="3" fillId="9" fontId="12" numFmtId="1" xfId="0" applyBorder="1" applyFont="1" applyNumberFormat="1"/>
    <xf borderId="0" fillId="9" fontId="13" numFmtId="49" xfId="0" applyAlignment="1" applyFont="1" applyNumberFormat="1">
      <alignment readingOrder="0"/>
    </xf>
    <xf borderId="4" fillId="9" fontId="12" numFmtId="4" xfId="0" applyBorder="1" applyFont="1" applyNumberFormat="1"/>
    <xf borderId="4" fillId="9" fontId="4" numFmtId="0" xfId="0" applyAlignment="1" applyBorder="1" applyFont="1">
      <alignment horizontal="center" readingOrder="0" shrinkToFit="0" wrapText="0"/>
    </xf>
    <xf borderId="4" fillId="9" fontId="4" numFmtId="2" xfId="0" applyAlignment="1" applyBorder="1" applyFont="1" applyNumberFormat="1">
      <alignment horizontal="center" readingOrder="0" shrinkToFit="0" wrapText="0"/>
    </xf>
    <xf borderId="5" fillId="9" fontId="4" numFmtId="10" xfId="0" applyAlignment="1" applyBorder="1" applyFont="1" applyNumberFormat="1">
      <alignment horizontal="center" readingOrder="0" shrinkToFit="0" wrapText="0"/>
    </xf>
    <xf borderId="4" fillId="9" fontId="4" numFmtId="4" xfId="0" applyAlignment="1" applyBorder="1" applyFont="1" applyNumberFormat="1">
      <alignment horizontal="center" readingOrder="0" shrinkToFit="0" wrapText="0"/>
    </xf>
    <xf borderId="5" fillId="9" fontId="4" numFmtId="4" xfId="0" applyAlignment="1" applyBorder="1" applyFont="1" applyNumberFormat="1">
      <alignment horizontal="center" readingOrder="0" shrinkToFit="0" wrapText="0"/>
    </xf>
    <xf borderId="5" fillId="9" fontId="12" numFmtId="4" xfId="0" applyBorder="1" applyFont="1" applyNumberFormat="1"/>
    <xf borderId="6" fillId="9" fontId="12" numFmtId="3" xfId="0" applyBorder="1" applyFont="1" applyNumberFormat="1"/>
    <xf borderId="1" fillId="8" fontId="4" numFmtId="0" xfId="0" applyAlignment="1" applyBorder="1" applyFont="1">
      <alignment horizontal="center" readingOrder="0" shrinkToFit="0" wrapText="0"/>
    </xf>
    <xf borderId="2" fillId="8" fontId="12" numFmtId="4" xfId="0" applyBorder="1" applyFont="1" applyNumberFormat="1"/>
    <xf borderId="4" fillId="8" fontId="4" numFmtId="0" xfId="0" applyAlignment="1" applyBorder="1" applyFont="1">
      <alignment horizontal="center" readingOrder="0" shrinkToFit="0" wrapText="0"/>
    </xf>
    <xf borderId="5" fillId="8" fontId="4" numFmtId="0" xfId="0" applyAlignment="1" applyBorder="1" applyFont="1">
      <alignment horizontal="center" readingOrder="0" shrinkToFit="0" wrapText="0"/>
    </xf>
    <xf borderId="4" fillId="8" fontId="4" numFmtId="4" xfId="0" applyAlignment="1" applyBorder="1" applyFont="1" applyNumberFormat="1">
      <alignment horizontal="center" readingOrder="0" shrinkToFit="0" wrapText="0"/>
    </xf>
    <xf borderId="5" fillId="8" fontId="12" numFmtId="4" xfId="0" applyBorder="1" applyFont="1" applyNumberFormat="1"/>
    <xf borderId="6" fillId="8" fontId="12" numFmtId="3" xfId="0" applyBorder="1" applyFont="1" applyNumberFormat="1"/>
    <xf borderId="5" fillId="9" fontId="4" numFmtId="0" xfId="0" applyAlignment="1" applyBorder="1" applyFont="1">
      <alignment horizontal="center" readingOrder="0" shrinkToFit="0" wrapText="0"/>
    </xf>
    <xf borderId="6" fillId="9" fontId="4" numFmtId="3" xfId="0" applyAlignment="1" applyBorder="1" applyFont="1" applyNumberFormat="1">
      <alignment horizontal="center" readingOrder="0" shrinkToFit="0" wrapText="0"/>
    </xf>
    <xf borderId="6" fillId="8" fontId="4" numFmtId="3" xfId="0" applyAlignment="1" applyBorder="1" applyFont="1" applyNumberFormat="1">
      <alignment horizontal="center" readingOrder="0" shrinkToFit="0" wrapText="0"/>
    </xf>
    <xf borderId="1" fillId="8" fontId="12" numFmtId="0" xfId="0" applyBorder="1" applyFont="1"/>
    <xf borderId="2" fillId="8" fontId="12" numFmtId="0" xfId="0" applyBorder="1" applyFont="1"/>
    <xf borderId="2" fillId="8" fontId="12" numFmtId="46" xfId="0" applyBorder="1" applyFont="1" applyNumberFormat="1"/>
    <xf borderId="2" fillId="8" fontId="12" numFmtId="49" xfId="0" applyBorder="1" applyFont="1" applyNumberFormat="1"/>
    <xf borderId="2" fillId="8" fontId="12" numFmtId="10" xfId="0" applyBorder="1" applyFont="1" applyNumberFormat="1"/>
    <xf borderId="2" fillId="8" fontId="12" numFmtId="3" xfId="0" applyBorder="1" applyFont="1" applyNumberFormat="1"/>
    <xf borderId="4" fillId="8" fontId="12" numFmtId="0" xfId="0" applyBorder="1" applyFont="1"/>
    <xf borderId="5" fillId="8" fontId="12" numFmtId="10" xfId="0" applyBorder="1" applyFont="1" applyNumberFormat="1"/>
    <xf borderId="1" fillId="9" fontId="12" numFmtId="0" xfId="0" applyBorder="1" applyFont="1"/>
    <xf borderId="2" fillId="9" fontId="12" numFmtId="0" xfId="0" applyBorder="1" applyFont="1"/>
    <xf borderId="2" fillId="9" fontId="12" numFmtId="46" xfId="0" applyBorder="1" applyFont="1" applyNumberFormat="1"/>
    <xf borderId="2" fillId="9" fontId="12" numFmtId="49" xfId="0" applyBorder="1" applyFont="1" applyNumberFormat="1"/>
    <xf borderId="2" fillId="9" fontId="12" numFmtId="10" xfId="0" applyBorder="1" applyFont="1" applyNumberFormat="1"/>
    <xf borderId="2" fillId="9" fontId="12" numFmtId="3" xfId="0" applyBorder="1" applyFont="1" applyNumberFormat="1"/>
    <xf borderId="2" fillId="9" fontId="12" numFmtId="49" xfId="0" applyBorder="1" applyFont="1" applyNumberFormat="1"/>
    <xf borderId="4" fillId="9" fontId="12" numFmtId="0" xfId="0" applyBorder="1" applyFont="1"/>
    <xf borderId="5" fillId="9" fontId="12" numFmtId="10" xfId="0" applyBorder="1" applyFont="1" applyNumberFormat="1"/>
    <xf borderId="3" fillId="9" fontId="12" numFmtId="1" xfId="0" applyAlignment="1" applyBorder="1" applyFont="1" applyNumberFormat="1">
      <alignment readingOrder="0"/>
    </xf>
    <xf borderId="3" fillId="8" fontId="12" numFmtId="1" xfId="0" applyAlignment="1" applyBorder="1" applyFont="1" applyNumberFormat="1">
      <alignment readingOrder="0"/>
    </xf>
    <xf borderId="2" fillId="8" fontId="12" numFmtId="4" xfId="0" applyAlignment="1" applyBorder="1" applyFont="1" applyNumberFormat="1">
      <alignment readingOrder="0"/>
    </xf>
    <xf borderId="2" fillId="9" fontId="12" numFmtId="4" xfId="0" applyAlignment="1" applyBorder="1" applyFont="1" applyNumberFormat="1">
      <alignment readingOrder="0"/>
    </xf>
    <xf borderId="4" fillId="5" fontId="12" numFmtId="4" xfId="0" applyBorder="1" applyFont="1" applyNumberFormat="1"/>
    <xf borderId="4" fillId="9" fontId="4" numFmtId="165" xfId="0" applyAlignment="1" applyBorder="1" applyFont="1" applyNumberFormat="1">
      <alignment horizontal="center" readingOrder="0" shrinkToFit="0" wrapText="0"/>
    </xf>
    <xf borderId="4" fillId="8" fontId="4" numFmtId="165" xfId="0" applyAlignment="1" applyBorder="1" applyFont="1" applyNumberFormat="1">
      <alignment horizontal="center" readingOrder="0" shrinkToFit="0" wrapText="0"/>
    </xf>
    <xf borderId="3" fillId="9" fontId="12" numFmtId="1" xfId="0" applyAlignment="1" applyBorder="1" applyFont="1" applyNumberFormat="1">
      <alignment vertical="bottom"/>
    </xf>
    <xf borderId="3" fillId="8" fontId="12" numFmtId="1" xfId="0" applyAlignment="1" applyBorder="1" applyFont="1" applyNumberFormat="1">
      <alignment vertical="bottom"/>
    </xf>
    <xf borderId="4" fillId="8" fontId="4" numFmtId="166" xfId="0" applyAlignment="1" applyBorder="1" applyFont="1" applyNumberFormat="1">
      <alignment horizontal="center" readingOrder="0" shrinkToFit="0" wrapText="0"/>
    </xf>
    <xf borderId="5" fillId="8" fontId="4" numFmtId="166" xfId="0" applyAlignment="1" applyBorder="1" applyFont="1" applyNumberFormat="1">
      <alignment horizontal="center" readingOrder="0" shrinkToFit="0" wrapText="0"/>
    </xf>
    <xf borderId="2" fillId="9" fontId="4" numFmtId="167" xfId="0" applyAlignment="1" applyBorder="1" applyFont="1" applyNumberFormat="1">
      <alignment horizontal="center" readingOrder="0" shrinkToFit="0" wrapText="0"/>
    </xf>
    <xf borderId="2" fillId="8" fontId="4" numFmtId="49" xfId="0" applyAlignment="1" applyBorder="1" applyFont="1" applyNumberFormat="1">
      <alignment horizontal="center" readingOrder="0" shrinkToFit="0" wrapText="0"/>
    </xf>
    <xf borderId="4" fillId="9" fontId="4" numFmtId="166" xfId="0" applyAlignment="1" applyBorder="1" applyFont="1" applyNumberFormat="1">
      <alignment horizontal="center" readingOrder="0" shrinkToFit="0" wrapText="0"/>
    </xf>
    <xf borderId="5" fillId="9" fontId="4" numFmtId="165" xfId="0" applyAlignment="1" applyBorder="1" applyFont="1" applyNumberFormat="1">
      <alignment horizontal="center" readingOrder="0" shrinkToFit="0" wrapText="0"/>
    </xf>
    <xf borderId="5" fillId="8" fontId="4" numFmtId="165" xfId="0" applyAlignment="1" applyBorder="1" applyFont="1" applyNumberFormat="1">
      <alignment horizontal="center" readingOrder="0" shrinkToFit="0" wrapText="0"/>
    </xf>
    <xf borderId="0" fillId="8" fontId="4" numFmtId="0" xfId="0" applyAlignment="1" applyFont="1">
      <alignment horizontal="center" readingOrder="0" shrinkToFit="0" wrapText="0"/>
    </xf>
    <xf borderId="0" fillId="8" fontId="4" numFmtId="0" xfId="0" applyAlignment="1" applyFont="1">
      <alignment horizontal="center" readingOrder="0" shrinkToFit="0" wrapText="0"/>
    </xf>
    <xf borderId="0" fillId="8" fontId="4" numFmtId="4" xfId="0" applyAlignment="1" applyFont="1" applyNumberFormat="1">
      <alignment horizontal="center" readingOrder="0" shrinkToFit="0" wrapText="0"/>
    </xf>
    <xf borderId="0" fillId="8" fontId="4" numFmtId="0" xfId="0" applyAlignment="1" applyFont="1">
      <alignment horizontal="right" readingOrder="0" shrinkToFit="0" wrapText="0"/>
    </xf>
    <xf borderId="0" fillId="8" fontId="4" numFmtId="49" xfId="0" applyAlignment="1" applyFont="1" applyNumberFormat="1">
      <alignment horizontal="right" readingOrder="0" shrinkToFit="0" wrapText="0"/>
    </xf>
    <xf borderId="0" fillId="8" fontId="12" numFmtId="1" xfId="0" applyFont="1" applyNumberFormat="1"/>
    <xf borderId="0" fillId="8" fontId="13" numFmtId="0" xfId="0" applyAlignment="1" applyFont="1">
      <alignment readingOrder="0"/>
    </xf>
    <xf borderId="0" fillId="8" fontId="12" numFmtId="4" xfId="0" applyFont="1" applyNumberFormat="1"/>
    <xf borderId="0" fillId="8" fontId="4" numFmtId="2" xfId="0" applyAlignment="1" applyFont="1" applyNumberFormat="1">
      <alignment horizontal="center" readingOrder="0" shrinkToFit="0" wrapText="0"/>
    </xf>
    <xf borderId="0" fillId="9" fontId="4" numFmtId="0" xfId="0" applyAlignment="1" applyFont="1">
      <alignment horizontal="center" readingOrder="0" shrinkToFit="0" wrapText="0"/>
    </xf>
    <xf borderId="0" fillId="9" fontId="4" numFmtId="0" xfId="0" applyAlignment="1" applyFont="1">
      <alignment horizontal="center" readingOrder="0" shrinkToFit="0" wrapText="0"/>
    </xf>
    <xf borderId="0" fillId="9" fontId="4" numFmtId="4" xfId="0" applyAlignment="1" applyFont="1" applyNumberFormat="1">
      <alignment horizontal="center" readingOrder="0" shrinkToFit="0" wrapText="0"/>
    </xf>
    <xf borderId="0" fillId="9" fontId="4" numFmtId="0" xfId="0" applyAlignment="1" applyFont="1">
      <alignment horizontal="right" readingOrder="0" shrinkToFit="0" wrapText="0"/>
    </xf>
    <xf borderId="0" fillId="9" fontId="4" numFmtId="49" xfId="0" applyAlignment="1" applyFont="1" applyNumberFormat="1">
      <alignment horizontal="right" readingOrder="0" shrinkToFit="0" wrapText="0"/>
    </xf>
    <xf borderId="0" fillId="9" fontId="12" numFmtId="1" xfId="0" applyFont="1" applyNumberFormat="1"/>
    <xf borderId="0" fillId="9" fontId="13" numFmtId="0" xfId="0" applyAlignment="1" applyFont="1">
      <alignment readingOrder="0"/>
    </xf>
    <xf borderId="0" fillId="9" fontId="12" numFmtId="4" xfId="0" applyFont="1" applyNumberFormat="1"/>
    <xf borderId="0" fillId="9" fontId="4" numFmtId="2" xfId="0" applyAlignment="1" applyFont="1" applyNumberFormat="1">
      <alignment horizontal="center" readingOrder="0" shrinkToFit="0" wrapText="0"/>
    </xf>
    <xf borderId="0" fillId="0" fontId="1" numFmtId="0" xfId="0" applyFont="1"/>
    <xf borderId="0" fillId="2" fontId="1" numFmtId="4" xfId="0" applyFont="1" applyNumberFormat="1"/>
    <xf borderId="0" fillId="0" fontId="1" numFmtId="49" xfId="0" applyFont="1" applyNumberFormat="1"/>
    <xf borderId="0" fillId="0" fontId="1" numFmtId="1" xfId="0" applyFont="1" applyNumberFormat="1"/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3" fontId="1" numFmtId="164" xfId="0" applyFont="1" applyNumberFormat="1"/>
    <xf borderId="0" fillId="10" fontId="1" numFmtId="4" xfId="0" applyFill="1" applyFont="1" applyNumberFormat="1"/>
    <xf borderId="0" fillId="3" fontId="1" numFmtId="164" xfId="0" applyAlignment="1" applyFont="1" applyNumberFormat="1">
      <alignment readingOrder="0"/>
    </xf>
    <xf borderId="0" fillId="0" fontId="1" numFmtId="168" xfId="0" applyFont="1" applyNumberFormat="1"/>
    <xf borderId="0" fillId="10" fontId="1" numFmtId="4" xfId="0" applyAlignment="1" applyFont="1" applyNumberFormat="1">
      <alignment readingOrder="0"/>
    </xf>
    <xf borderId="0" fillId="3" fontId="1" numFmtId="4" xfId="0" applyAlignment="1" applyFont="1" applyNumberFormat="1">
      <alignment readingOrder="0"/>
    </xf>
    <xf borderId="0" fillId="4" fontId="1" numFmtId="4" xfId="0" applyFont="1" applyNumberFormat="1"/>
    <xf borderId="0" fillId="3" fontId="1" numFmtId="4" xfId="0" applyFont="1" applyNumberFormat="1"/>
    <xf borderId="0" fillId="5" fontId="1" numFmtId="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n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0" displayName="Renta" name="Renta" id="1">
  <autoFilter ref="$A$1:$K$30"/>
  <tableColumns count="11">
    <tableColumn name="Ressource" id="1"/>
    <tableColumn name="-" id="2"/>
    <tableColumn name="index" id="3"/>
    <tableColumn name="rapport " id="4"/>
    <tableColumn name="min/item" id="5"/>
    <tableColumn name="prix man" id="6"/>
    <tableColumn name="prix atuo" id="7"/>
    <tableColumn name="coin/earth" id="8"/>
    <tableColumn name="coin/precédent" id="9"/>
    <tableColumn name="gain de l'usine_x000a_coin/h" id="10"/>
    <tableColumn name="gain/kpow" id="11"/>
  </tableColumns>
  <tableStyleInfo name="ren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13.0"/>
    <col customWidth="1" min="2" max="2" width="11.13"/>
    <col customWidth="1" hidden="1" min="3" max="3" width="7.38"/>
    <col customWidth="1" hidden="1" min="4" max="4" width="5.88"/>
    <col customWidth="1" hidden="1" min="5" max="5" width="10.63"/>
    <col customWidth="1" min="6" max="6" width="7.75"/>
    <col customWidth="1" min="7" max="7" width="7.38"/>
    <col customWidth="1" hidden="1" min="8" max="8" width="6.5"/>
    <col customWidth="1" hidden="1" min="9" max="9" width="7.13"/>
    <col customWidth="1" min="10" max="10" width="7.5"/>
    <col customWidth="1" min="11" max="11" width="5.75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5"/>
      <c r="O1" s="6" t="s">
        <v>11</v>
      </c>
    </row>
    <row r="2" ht="22.5" customHeight="1">
      <c r="A2" s="7" t="s">
        <v>12</v>
      </c>
      <c r="B2" s="7" t="s">
        <v>12</v>
      </c>
      <c r="C2" s="7" t="str">
        <f>MATCH(B2, data!A:A, 0)</f>
        <v>#N/A</v>
      </c>
      <c r="D2" s="8">
        <v>1.0</v>
      </c>
      <c r="E2" s="8">
        <f>(60+41)/50500</f>
        <v>0.002</v>
      </c>
      <c r="F2" s="9">
        <f>0.0041</f>
        <v>0.0041</v>
      </c>
      <c r="G2" s="10">
        <f t="shared" ref="G2:G7" si="2">IFERROR(getCoinPrice($O2), $F2)</f>
        <v>0.0041</v>
      </c>
      <c r="H2" s="10">
        <f t="shared" ref="H2:I2" si="1">G2</f>
        <v>0.0041</v>
      </c>
      <c r="I2" s="10">
        <f t="shared" si="1"/>
        <v>0.0041</v>
      </c>
      <c r="J2" s="8">
        <f>G2/E2+60</f>
        <v>62.05</v>
      </c>
      <c r="K2" s="8"/>
      <c r="L2" s="11"/>
      <c r="M2" s="11"/>
      <c r="N2" s="11"/>
      <c r="O2" s="12" t="s">
        <v>13</v>
      </c>
      <c r="P2" s="13"/>
      <c r="Q2" s="13"/>
      <c r="R2" s="13"/>
      <c r="S2" s="13"/>
    </row>
    <row r="3" ht="22.5" customHeight="1">
      <c r="A3" s="7" t="s">
        <v>14</v>
      </c>
      <c r="B3" s="7" t="s">
        <v>14</v>
      </c>
      <c r="C3" s="7">
        <v>0.0</v>
      </c>
      <c r="D3" s="10">
        <f>152/30</f>
        <v>5.066666667</v>
      </c>
      <c r="E3" s="8">
        <f>60/12</f>
        <v>5</v>
      </c>
      <c r="F3" s="7">
        <v>3.06</v>
      </c>
      <c r="G3" s="10">
        <f t="shared" si="2"/>
        <v>3.06</v>
      </c>
      <c r="H3" s="8">
        <f>G3</f>
        <v>3.06</v>
      </c>
      <c r="I3" s="8">
        <v>0.46</v>
      </c>
      <c r="J3" s="8">
        <v>0.0</v>
      </c>
      <c r="K3" s="10"/>
      <c r="L3" s="11"/>
      <c r="M3" s="11"/>
      <c r="N3" s="11"/>
      <c r="O3" s="12" t="s">
        <v>15</v>
      </c>
      <c r="P3" s="13"/>
      <c r="Q3" s="13"/>
      <c r="R3" s="13"/>
      <c r="S3" s="13"/>
    </row>
    <row r="4" ht="22.5" customHeight="1">
      <c r="A4" s="7" t="s">
        <v>16</v>
      </c>
      <c r="B4" s="7" t="s">
        <v>16</v>
      </c>
      <c r="C4" s="7">
        <v>0.0</v>
      </c>
      <c r="D4" s="8">
        <v>0.0</v>
      </c>
      <c r="E4" s="8">
        <v>0.0</v>
      </c>
      <c r="F4" s="7">
        <v>9.7</v>
      </c>
      <c r="G4" s="10">
        <f t="shared" si="2"/>
        <v>9.7</v>
      </c>
      <c r="H4" s="10"/>
      <c r="I4" s="10"/>
      <c r="J4" s="10"/>
      <c r="K4" s="10"/>
      <c r="L4" s="13"/>
      <c r="M4" s="13"/>
      <c r="N4" s="13"/>
      <c r="O4" s="12" t="s">
        <v>17</v>
      </c>
      <c r="P4" s="13"/>
      <c r="Q4" s="13"/>
      <c r="R4" s="13"/>
      <c r="S4" s="13"/>
    </row>
    <row r="5" ht="22.5" customHeight="1">
      <c r="A5" s="14" t="s">
        <v>18</v>
      </c>
      <c r="B5" s="14" t="s">
        <v>19</v>
      </c>
      <c r="C5" s="14">
        <f>MATCH(B5, data!A:A, 0)</f>
        <v>18</v>
      </c>
      <c r="D5" s="15">
        <f t="shared" ref="D5:D30" si="3">INDIRECT("'data'!G" &amp; C5)/INDIRECT("'data'!B" &amp; C5)</f>
        <v>2.85</v>
      </c>
      <c r="E5" s="15">
        <f t="shared" ref="E5:E30" si="4">INDIRECT("'data'!C" &amp; C5)/INDIRECT("'data'!B" &amp; C5)/2*24*60</f>
        <v>0.007026291931</v>
      </c>
      <c r="F5" s="16">
        <v>0.011</v>
      </c>
      <c r="G5" s="17">
        <f t="shared" si="2"/>
        <v>0.01154538493</v>
      </c>
      <c r="H5" s="15">
        <f>D2*D5*$G$2</f>
        <v>0.011685</v>
      </c>
      <c r="I5" s="15">
        <f>G2*D5</f>
        <v>0.011685</v>
      </c>
      <c r="J5" s="15">
        <f t="shared" ref="J5:J30" si="5">INDIRECT("'data'!E" &amp; C5)</f>
        <v>-3.65697609</v>
      </c>
      <c r="K5" s="15"/>
      <c r="L5" s="5"/>
      <c r="M5" s="5"/>
      <c r="N5" s="5"/>
      <c r="O5" s="6" t="s">
        <v>20</v>
      </c>
    </row>
    <row r="6" ht="22.5" customHeight="1">
      <c r="A6" s="14" t="s">
        <v>21</v>
      </c>
      <c r="B6" s="14" t="s">
        <v>22</v>
      </c>
      <c r="C6" s="14">
        <f>MATCH(B6, data!A:A, 0)</f>
        <v>68</v>
      </c>
      <c r="D6" s="15">
        <f t="shared" si="3"/>
        <v>9.5</v>
      </c>
      <c r="E6" s="15">
        <f t="shared" si="4"/>
        <v>0.03378378378</v>
      </c>
      <c r="F6" s="18">
        <v>0.12</v>
      </c>
      <c r="G6" s="17">
        <f t="shared" si="2"/>
        <v>0.12</v>
      </c>
      <c r="H6" s="15">
        <f t="shared" ref="H6:H10" si="6">H5*D6</f>
        <v>0.1110075</v>
      </c>
      <c r="I6" s="15">
        <f t="shared" ref="I6:I10" si="7">G5*D6</f>
        <v>0.1096811568</v>
      </c>
      <c r="J6" s="15">
        <f t="shared" si="5"/>
        <v>12.99826546</v>
      </c>
      <c r="K6" s="15"/>
      <c r="L6" s="5"/>
      <c r="M6" s="5"/>
      <c r="N6" s="5"/>
      <c r="O6" s="19" t="s">
        <v>23</v>
      </c>
    </row>
    <row r="7" ht="22.5" customHeight="1">
      <c r="A7" s="14" t="s">
        <v>24</v>
      </c>
      <c r="B7" s="14" t="s">
        <v>25</v>
      </c>
      <c r="C7" s="14">
        <f>MATCH(B7, data!A:A, 0)</f>
        <v>104</v>
      </c>
      <c r="D7" s="15">
        <f t="shared" si="3"/>
        <v>2.85</v>
      </c>
      <c r="E7" s="15">
        <f t="shared" si="4"/>
        <v>0.1244871795</v>
      </c>
      <c r="F7" s="18">
        <v>0.33</v>
      </c>
      <c r="G7" s="17">
        <f t="shared" si="2"/>
        <v>0.3117692947</v>
      </c>
      <c r="H7" s="15">
        <f t="shared" si="6"/>
        <v>0.316371375</v>
      </c>
      <c r="I7" s="15">
        <f t="shared" si="7"/>
        <v>0.342</v>
      </c>
      <c r="J7" s="15">
        <f t="shared" si="5"/>
        <v>-18.32715842</v>
      </c>
      <c r="K7" s="15"/>
      <c r="L7" s="5"/>
      <c r="M7" s="5"/>
      <c r="N7" s="5"/>
      <c r="O7" s="6" t="s">
        <v>26</v>
      </c>
    </row>
    <row r="8" ht="22.5" customHeight="1">
      <c r="A8" s="14" t="s">
        <v>27</v>
      </c>
      <c r="B8" s="14" t="s">
        <v>28</v>
      </c>
      <c r="C8" s="14">
        <f>MATCH(B8, data!A:A, 0)</f>
        <v>135</v>
      </c>
      <c r="D8" s="15">
        <f t="shared" si="3"/>
        <v>28.5</v>
      </c>
      <c r="E8" s="15">
        <f t="shared" si="4"/>
        <v>5.825462963</v>
      </c>
      <c r="F8" s="18">
        <v>8.33</v>
      </c>
      <c r="G8" s="17">
        <f>F8</f>
        <v>8.33</v>
      </c>
      <c r="H8" s="15">
        <f t="shared" si="6"/>
        <v>9.016584188</v>
      </c>
      <c r="I8" s="15">
        <f t="shared" si="7"/>
        <v>8.885424899</v>
      </c>
      <c r="J8" s="15">
        <f t="shared" si="5"/>
        <v>-7.865554073</v>
      </c>
      <c r="K8" s="15"/>
      <c r="L8" s="5"/>
      <c r="M8" s="5"/>
      <c r="N8" s="5"/>
      <c r="O8" s="6" t="s">
        <v>29</v>
      </c>
    </row>
    <row r="9" ht="22.5" customHeight="1">
      <c r="A9" s="14" t="s">
        <v>30</v>
      </c>
      <c r="B9" s="14" t="s">
        <v>31</v>
      </c>
      <c r="C9" s="14">
        <f>MATCH(B9, data!A:A, 0)</f>
        <v>293</v>
      </c>
      <c r="D9" s="15">
        <f t="shared" si="3"/>
        <v>4.161</v>
      </c>
      <c r="E9" s="15">
        <f t="shared" si="4"/>
        <v>280</v>
      </c>
      <c r="F9" s="18">
        <v>37.0</v>
      </c>
      <c r="G9" s="17">
        <f t="shared" ref="G9:G30" si="8">IFERROR(getCoinPrice($O9), $F9)</f>
        <v>37</v>
      </c>
      <c r="H9" s="15">
        <f t="shared" si="6"/>
        <v>37.5180068</v>
      </c>
      <c r="I9" s="15">
        <f t="shared" si="7"/>
        <v>34.66113</v>
      </c>
      <c r="J9" s="15">
        <f t="shared" si="5"/>
        <v>0.4211312786</v>
      </c>
      <c r="K9" s="15">
        <f t="shared" ref="K9:K30" si="9">INDIRECT("'data'!W" &amp; C9)</f>
        <v>0.282774</v>
      </c>
      <c r="L9" s="4" t="s">
        <v>32</v>
      </c>
      <c r="M9" s="5"/>
      <c r="N9" s="5"/>
      <c r="O9" s="6" t="s">
        <v>33</v>
      </c>
    </row>
    <row r="10" ht="22.5" customHeight="1">
      <c r="A10" s="14" t="s">
        <v>34</v>
      </c>
      <c r="B10" s="14" t="s">
        <v>35</v>
      </c>
      <c r="C10" s="14">
        <f>MATCH(B10, data!A:A, 0)</f>
        <v>403</v>
      </c>
      <c r="D10" s="15">
        <f t="shared" si="3"/>
        <v>2.7075</v>
      </c>
      <c r="E10" s="15">
        <f t="shared" si="4"/>
        <v>450</v>
      </c>
      <c r="F10" s="18">
        <v>113.0</v>
      </c>
      <c r="G10" s="17">
        <f t="shared" si="8"/>
        <v>132.682153</v>
      </c>
      <c r="H10" s="15">
        <f t="shared" si="6"/>
        <v>101.5800034</v>
      </c>
      <c r="I10" s="15">
        <f t="shared" si="7"/>
        <v>100.1775</v>
      </c>
      <c r="J10" s="15">
        <f t="shared" si="5"/>
        <v>5.915353435</v>
      </c>
      <c r="K10" s="15">
        <f t="shared" si="9"/>
        <v>1.167503967</v>
      </c>
      <c r="L10" s="20">
        <f>J2+3*J9+2*J10</f>
        <v>75.14410071</v>
      </c>
      <c r="M10" s="5"/>
      <c r="N10" s="5"/>
      <c r="O10" s="21" t="s">
        <v>36</v>
      </c>
    </row>
    <row r="11" ht="22.5" customHeight="1">
      <c r="A11" s="14" t="s">
        <v>37</v>
      </c>
      <c r="B11" s="14" t="s">
        <v>38</v>
      </c>
      <c r="C11" s="14">
        <f>MATCH(B11, data!A:A, 0)</f>
        <v>190</v>
      </c>
      <c r="D11" s="15">
        <f t="shared" si="3"/>
        <v>5.066666667</v>
      </c>
      <c r="E11" s="15">
        <f t="shared" si="4"/>
        <v>8</v>
      </c>
      <c r="F11" s="18">
        <v>18.3</v>
      </c>
      <c r="G11" s="17">
        <f t="shared" si="8"/>
        <v>18.23397383</v>
      </c>
      <c r="H11" s="15">
        <f>H3*D11</f>
        <v>15.504</v>
      </c>
      <c r="I11" s="15">
        <f>G3*D11</f>
        <v>15.504</v>
      </c>
      <c r="J11" s="15">
        <f t="shared" si="5"/>
        <v>25.07222243</v>
      </c>
      <c r="K11" s="15">
        <f t="shared" si="9"/>
        <v>3.790207473</v>
      </c>
      <c r="L11" s="4" t="s">
        <v>39</v>
      </c>
      <c r="N11" s="5"/>
      <c r="O11" s="6" t="s">
        <v>40</v>
      </c>
    </row>
    <row r="12" ht="22.5" customHeight="1">
      <c r="A12" s="14" t="s">
        <v>41</v>
      </c>
      <c r="B12" s="14" t="s">
        <v>42</v>
      </c>
      <c r="C12" s="14">
        <f>MATCH(B12, data!A:A, 0)</f>
        <v>242</v>
      </c>
      <c r="D12" s="15">
        <f t="shared" si="3"/>
        <v>3.3041</v>
      </c>
      <c r="E12" s="15">
        <f t="shared" si="4"/>
        <v>24</v>
      </c>
      <c r="F12" s="18">
        <v>71.0</v>
      </c>
      <c r="G12" s="17">
        <f t="shared" si="8"/>
        <v>71</v>
      </c>
      <c r="H12" s="15">
        <f t="shared" ref="H12:H16" si="10">H11*D12</f>
        <v>51.2267664</v>
      </c>
      <c r="I12" s="15">
        <f t="shared" ref="I12:I16" si="11">G11*D12</f>
        <v>60.24687293</v>
      </c>
      <c r="J12" s="15">
        <f t="shared" si="5"/>
        <v>32.99461698</v>
      </c>
      <c r="K12" s="15">
        <f t="shared" si="9"/>
        <v>2.112500487</v>
      </c>
      <c r="L12" s="4" t="s">
        <v>43</v>
      </c>
      <c r="N12" s="4"/>
      <c r="O12" s="6" t="s">
        <v>44</v>
      </c>
    </row>
    <row r="13" ht="22.5" customHeight="1">
      <c r="A13" s="14" t="s">
        <v>45</v>
      </c>
      <c r="B13" s="14" t="s">
        <v>46</v>
      </c>
      <c r="C13" s="14">
        <f>MATCH(B13, data!A:A, 0)</f>
        <v>326</v>
      </c>
      <c r="D13" s="15">
        <f t="shared" si="3"/>
        <v>2.477916667</v>
      </c>
      <c r="E13" s="15">
        <f t="shared" si="4"/>
        <v>40</v>
      </c>
      <c r="F13" s="18">
        <v>208.0</v>
      </c>
      <c r="G13" s="17">
        <f t="shared" si="8"/>
        <v>208</v>
      </c>
      <c r="H13" s="15">
        <f t="shared" si="10"/>
        <v>126.9356582</v>
      </c>
      <c r="I13" s="15">
        <f t="shared" si="11"/>
        <v>175.9320833</v>
      </c>
      <c r="J13" s="15">
        <f t="shared" si="5"/>
        <v>56.01960625</v>
      </c>
      <c r="K13" s="15">
        <f t="shared" si="9"/>
        <v>1.628358586</v>
      </c>
      <c r="L13" s="20" t="str">
        <f>2*J11+2*#REF!+3*J12+3*J13+3*J14+2*J15+J16</f>
        <v>#REF!</v>
      </c>
      <c r="N13" s="5"/>
      <c r="O13" s="6" t="s">
        <v>47</v>
      </c>
    </row>
    <row r="14" ht="22.5" customHeight="1">
      <c r="A14" s="14" t="s">
        <v>48</v>
      </c>
      <c r="B14" s="14" t="s">
        <v>49</v>
      </c>
      <c r="C14" s="14">
        <f>MATCH(B14, data!A:A, 0)</f>
        <v>363</v>
      </c>
      <c r="D14" s="15">
        <f t="shared" si="3"/>
        <v>1.653</v>
      </c>
      <c r="E14" s="15">
        <f t="shared" si="4"/>
        <v>80</v>
      </c>
      <c r="F14" s="18">
        <v>386.0</v>
      </c>
      <c r="G14" s="17">
        <f t="shared" si="8"/>
        <v>386</v>
      </c>
      <c r="H14" s="15">
        <f t="shared" si="10"/>
        <v>209.8246431</v>
      </c>
      <c r="I14" s="15">
        <f t="shared" si="11"/>
        <v>343.824</v>
      </c>
      <c r="J14" s="15">
        <f t="shared" si="5"/>
        <v>30.493125</v>
      </c>
      <c r="K14" s="15">
        <f t="shared" si="9"/>
        <v>0.7070869565</v>
      </c>
      <c r="L14" s="4" t="s">
        <v>50</v>
      </c>
      <c r="M14" s="5"/>
      <c r="N14" s="5"/>
      <c r="O14" s="6" t="s">
        <v>51</v>
      </c>
    </row>
    <row r="15" ht="22.5" customHeight="1">
      <c r="A15" s="14" t="s">
        <v>52</v>
      </c>
      <c r="B15" s="14" t="s">
        <v>53</v>
      </c>
      <c r="C15" s="14">
        <f>MATCH(B15, data!A:A, 0)</f>
        <v>427</v>
      </c>
      <c r="D15" s="15">
        <f t="shared" si="3"/>
        <v>2.4795</v>
      </c>
      <c r="E15" s="15">
        <f t="shared" si="4"/>
        <v>240</v>
      </c>
      <c r="F15" s="18">
        <v>1080.0</v>
      </c>
      <c r="G15" s="17">
        <f t="shared" si="8"/>
        <v>1127.807996</v>
      </c>
      <c r="H15" s="15">
        <f t="shared" si="10"/>
        <v>520.2602025</v>
      </c>
      <c r="I15" s="15">
        <f t="shared" si="11"/>
        <v>957.087</v>
      </c>
      <c r="J15" s="15">
        <f t="shared" si="5"/>
        <v>44.5393114</v>
      </c>
      <c r="K15" s="15">
        <f t="shared" si="9"/>
        <v>0.9501719765</v>
      </c>
      <c r="L15" s="20">
        <f>3*J17+3*J18+2*J19+2*J20+J21</f>
        <v>131.9418959</v>
      </c>
      <c r="M15" s="4"/>
      <c r="N15" s="5"/>
      <c r="O15" s="6" t="s">
        <v>54</v>
      </c>
    </row>
    <row r="16" ht="22.5" customHeight="1">
      <c r="A16" s="14" t="s">
        <v>55</v>
      </c>
      <c r="B16" s="14" t="str">
        <f>data!A454</f>
        <v>OIL_10</v>
      </c>
      <c r="C16" s="14">
        <f>MATCH(B16, data!A:A, 0)</f>
        <v>454</v>
      </c>
      <c r="D16" s="15">
        <f t="shared" si="3"/>
        <v>2.4795</v>
      </c>
      <c r="E16" s="15">
        <f t="shared" si="4"/>
        <v>300</v>
      </c>
      <c r="F16" s="18">
        <v>2600.0</v>
      </c>
      <c r="G16" s="17">
        <f t="shared" si="8"/>
        <v>2817.914258</v>
      </c>
      <c r="H16" s="15">
        <f t="shared" si="10"/>
        <v>1289.985172</v>
      </c>
      <c r="I16" s="15">
        <f t="shared" si="11"/>
        <v>2796.399927</v>
      </c>
      <c r="J16" s="15">
        <f t="shared" si="5"/>
        <v>-9.786705038</v>
      </c>
      <c r="K16" s="15">
        <f t="shared" si="9"/>
        <v>-0.1860590311</v>
      </c>
      <c r="L16" s="5"/>
      <c r="M16" s="5"/>
      <c r="N16" s="5"/>
      <c r="O16" s="6" t="s">
        <v>56</v>
      </c>
    </row>
    <row r="17" ht="22.5" customHeight="1">
      <c r="A17" s="14" t="s">
        <v>57</v>
      </c>
      <c r="B17" s="14" t="s">
        <v>58</v>
      </c>
      <c r="C17" s="14">
        <f>MATCH(B17, data!A:A, 0)</f>
        <v>220</v>
      </c>
      <c r="D17" s="15">
        <f t="shared" si="3"/>
        <v>5.89494</v>
      </c>
      <c r="E17" s="15">
        <f t="shared" si="4"/>
        <v>9.8</v>
      </c>
      <c r="F17" s="18">
        <v>70.0</v>
      </c>
      <c r="G17" s="17">
        <f t="shared" si="8"/>
        <v>60.44943256</v>
      </c>
      <c r="H17" s="15">
        <f>H4*D17</f>
        <v>0</v>
      </c>
      <c r="I17" s="15">
        <f>G4*D17</f>
        <v>57.180918</v>
      </c>
      <c r="J17" s="15">
        <f t="shared" si="5"/>
        <v>10.75884947</v>
      </c>
      <c r="K17" s="15" t="str">
        <f t="shared" si="9"/>
        <v/>
      </c>
      <c r="L17" s="4" t="s">
        <v>59</v>
      </c>
      <c r="M17" s="4" t="s">
        <v>60</v>
      </c>
      <c r="N17" s="4"/>
      <c r="O17" s="6" t="s">
        <v>61</v>
      </c>
    </row>
    <row r="18" ht="22.5" customHeight="1">
      <c r="A18" s="22" t="s">
        <v>62</v>
      </c>
      <c r="B18" s="23" t="s">
        <v>63</v>
      </c>
      <c r="C18" s="14">
        <f>MATCH(B18, data!A:A, 0)</f>
        <v>262</v>
      </c>
      <c r="D18" s="15">
        <f t="shared" si="3"/>
        <v>3.321833333</v>
      </c>
      <c r="E18" s="15">
        <f t="shared" si="4"/>
        <v>40</v>
      </c>
      <c r="F18" s="18">
        <v>240.0</v>
      </c>
      <c r="G18" s="17">
        <f t="shared" si="8"/>
        <v>240</v>
      </c>
      <c r="H18" s="15">
        <f t="shared" ref="H18:H30" si="12">H17*D18</f>
        <v>0</v>
      </c>
      <c r="I18" s="15">
        <f>G17*D18</f>
        <v>200.8029401</v>
      </c>
      <c r="J18" s="15">
        <f t="shared" si="5"/>
        <v>49.79558991</v>
      </c>
      <c r="K18" s="15">
        <f t="shared" si="9"/>
        <v>4.228924833</v>
      </c>
      <c r="L18" s="20" t="str">
        <f>L10+#REF!+L13+L15</f>
        <v>#REF!</v>
      </c>
      <c r="M18" s="5" t="str">
        <f>L18*12</f>
        <v>#REF!</v>
      </c>
      <c r="N18" s="4"/>
      <c r="O18" s="6" t="s">
        <v>64</v>
      </c>
    </row>
    <row r="19" ht="22.5" customHeight="1">
      <c r="A19" s="14" t="s">
        <v>65</v>
      </c>
      <c r="B19" s="14" t="s">
        <v>66</v>
      </c>
      <c r="C19" s="14">
        <f>MATCH(B19, data!A:A, 0)</f>
        <v>332</v>
      </c>
      <c r="D19" s="15">
        <f t="shared" si="3"/>
        <v>164.4703333</v>
      </c>
      <c r="E19" s="15">
        <f t="shared" si="4"/>
        <v>315</v>
      </c>
      <c r="F19" s="18">
        <v>470.0</v>
      </c>
      <c r="G19" s="17">
        <f t="shared" si="8"/>
        <v>437.5508085</v>
      </c>
      <c r="H19" s="15">
        <f t="shared" si="12"/>
        <v>0</v>
      </c>
      <c r="I19" s="15">
        <f>G17*D19</f>
        <v>9942.138323</v>
      </c>
      <c r="J19" s="15">
        <f t="shared" si="5"/>
        <v>-15.82607484</v>
      </c>
      <c r="K19" s="15">
        <f t="shared" si="9"/>
        <v>-2.928172438</v>
      </c>
      <c r="L19" s="5"/>
      <c r="M19" s="5"/>
      <c r="N19" s="5"/>
      <c r="O19" s="6" t="s">
        <v>67</v>
      </c>
    </row>
    <row r="20" ht="22.5" customHeight="1">
      <c r="A20" s="14" t="s">
        <v>68</v>
      </c>
      <c r="B20" s="14" t="s">
        <v>69</v>
      </c>
      <c r="C20" s="14">
        <f>MATCH(B20, data!A:A, 0)</f>
        <v>468</v>
      </c>
      <c r="D20" s="15">
        <f t="shared" si="3"/>
        <v>7.5145</v>
      </c>
      <c r="E20" s="15">
        <f t="shared" si="4"/>
        <v>2520</v>
      </c>
      <c r="F20" s="18">
        <v>2421.0</v>
      </c>
      <c r="G20" s="17">
        <f t="shared" si="8"/>
        <v>2421</v>
      </c>
      <c r="H20" s="15">
        <f t="shared" si="12"/>
        <v>0</v>
      </c>
      <c r="I20" s="15">
        <f t="shared" ref="I20:I30" si="13">G19*D20</f>
        <v>3287.97555</v>
      </c>
      <c r="J20" s="15">
        <f t="shared" si="5"/>
        <v>-4.052416667</v>
      </c>
      <c r="K20" s="15">
        <f t="shared" si="9"/>
        <v>-0.48629</v>
      </c>
      <c r="L20" s="5"/>
      <c r="M20" s="4" t="s">
        <v>70</v>
      </c>
      <c r="N20" s="5"/>
      <c r="O20" s="6" t="s">
        <v>71</v>
      </c>
    </row>
    <row r="21" ht="22.5" customHeight="1">
      <c r="A21" s="14" t="s">
        <v>72</v>
      </c>
      <c r="B21" s="14" t="s">
        <v>73</v>
      </c>
      <c r="C21" s="14">
        <f>MATCH(B21, data!A:A, 0)</f>
        <v>490</v>
      </c>
      <c r="D21" s="15">
        <f t="shared" si="3"/>
        <v>9.88</v>
      </c>
      <c r="E21" s="15">
        <f t="shared" si="4"/>
        <v>3960</v>
      </c>
      <c r="F21" s="18">
        <v>8430.0</v>
      </c>
      <c r="G21" s="17">
        <f t="shared" si="8"/>
        <v>8430</v>
      </c>
      <c r="H21" s="15">
        <f t="shared" si="12"/>
        <v>0</v>
      </c>
      <c r="I21" s="15">
        <f t="shared" si="13"/>
        <v>23919.48</v>
      </c>
      <c r="J21" s="15">
        <f t="shared" si="5"/>
        <v>-9.964439207</v>
      </c>
      <c r="K21" s="15">
        <f t="shared" si="9"/>
        <v>-1.289515662</v>
      </c>
      <c r="M21" s="6">
        <v>8.0</v>
      </c>
      <c r="O21" s="6" t="s">
        <v>74</v>
      </c>
    </row>
    <row r="22" ht="22.5" customHeight="1">
      <c r="A22" s="14" t="s">
        <v>75</v>
      </c>
      <c r="B22" s="14" t="s">
        <v>76</v>
      </c>
      <c r="C22" s="14">
        <f>MATCH(B22, data!A:A, 0)</f>
        <v>274</v>
      </c>
      <c r="D22" s="15">
        <f t="shared" si="3"/>
        <v>263.40175</v>
      </c>
      <c r="E22" s="15">
        <f t="shared" si="4"/>
        <v>108.75</v>
      </c>
      <c r="F22" s="18">
        <v>80.0</v>
      </c>
      <c r="G22" s="17">
        <f t="shared" si="8"/>
        <v>80</v>
      </c>
      <c r="H22" s="15">
        <f t="shared" si="12"/>
        <v>0</v>
      </c>
      <c r="I22" s="15">
        <f t="shared" si="13"/>
        <v>2220476.753</v>
      </c>
      <c r="J22" s="15">
        <f t="shared" si="5"/>
        <v>-1.253276011</v>
      </c>
      <c r="K22" s="15">
        <f t="shared" si="9"/>
        <v>-0.1499282404</v>
      </c>
      <c r="L22" s="5"/>
      <c r="N22" s="5"/>
      <c r="O22" s="6" t="s">
        <v>77</v>
      </c>
    </row>
    <row r="23" ht="22.5" customHeight="1">
      <c r="A23" s="14" t="s">
        <v>78</v>
      </c>
      <c r="B23" s="14" t="s">
        <v>79</v>
      </c>
      <c r="C23" s="14">
        <f>MATCH(B23, data!A:A, 0)</f>
        <v>370</v>
      </c>
      <c r="D23" s="15">
        <f t="shared" si="3"/>
        <v>9.044</v>
      </c>
      <c r="E23" s="15">
        <f t="shared" si="4"/>
        <v>525</v>
      </c>
      <c r="F23" s="18">
        <v>320.0</v>
      </c>
      <c r="G23" s="17">
        <f t="shared" si="8"/>
        <v>307.622186</v>
      </c>
      <c r="H23" s="15">
        <f t="shared" si="12"/>
        <v>0</v>
      </c>
      <c r="I23" s="15">
        <f t="shared" si="13"/>
        <v>723.52</v>
      </c>
      <c r="J23" s="15">
        <f t="shared" si="5"/>
        <v>3.947433301</v>
      </c>
      <c r="K23" s="15">
        <f t="shared" si="9"/>
        <v>0.4998124821</v>
      </c>
      <c r="L23" s="5"/>
      <c r="M23" s="4"/>
      <c r="N23" s="4"/>
      <c r="O23" s="6" t="s">
        <v>80</v>
      </c>
    </row>
    <row r="24" ht="22.5" customHeight="1">
      <c r="A24" s="24" t="s">
        <v>81</v>
      </c>
      <c r="B24" s="24" t="s">
        <v>82</v>
      </c>
      <c r="C24" s="24">
        <f>MATCH(B24, data!A:A, 0)</f>
        <v>381</v>
      </c>
      <c r="D24" s="25">
        <f t="shared" si="3"/>
        <v>1.9</v>
      </c>
      <c r="E24" s="25">
        <f t="shared" si="4"/>
        <v>960</v>
      </c>
      <c r="F24" s="18">
        <v>1250.0</v>
      </c>
      <c r="G24" s="17">
        <f t="shared" si="8"/>
        <v>1250</v>
      </c>
      <c r="H24" s="15">
        <f t="shared" si="12"/>
        <v>0</v>
      </c>
      <c r="I24" s="15">
        <f t="shared" si="13"/>
        <v>584.4821534</v>
      </c>
      <c r="J24" s="15">
        <f t="shared" si="5"/>
        <v>-5.528125</v>
      </c>
      <c r="K24" s="15">
        <f t="shared" si="9"/>
        <v>-0.8845</v>
      </c>
      <c r="L24" s="5"/>
      <c r="M24" s="4"/>
      <c r="N24" s="5"/>
      <c r="O24" s="6" t="s">
        <v>83</v>
      </c>
    </row>
    <row r="25" ht="22.5" customHeight="1">
      <c r="A25" s="24" t="s">
        <v>84</v>
      </c>
      <c r="B25" s="24" t="s">
        <v>85</v>
      </c>
      <c r="C25" s="24">
        <f>MATCH(B25, data!A:A, 0)</f>
        <v>434</v>
      </c>
      <c r="D25" s="25">
        <f t="shared" si="3"/>
        <v>9.044</v>
      </c>
      <c r="E25" s="25">
        <f t="shared" si="4"/>
        <v>900</v>
      </c>
      <c r="F25" s="18">
        <v>1800.0</v>
      </c>
      <c r="G25" s="17">
        <f t="shared" si="8"/>
        <v>1745.767819</v>
      </c>
      <c r="H25" s="15">
        <f t="shared" si="12"/>
        <v>0</v>
      </c>
      <c r="I25" s="15">
        <f t="shared" si="13"/>
        <v>11305</v>
      </c>
      <c r="J25" s="15">
        <f t="shared" si="5"/>
        <v>9.519609578</v>
      </c>
      <c r="K25" s="15">
        <f t="shared" si="9"/>
        <v>0.8067465744</v>
      </c>
      <c r="L25" s="5"/>
      <c r="M25" s="4"/>
      <c r="N25" s="5"/>
      <c r="O25" s="6" t="s">
        <v>86</v>
      </c>
    </row>
    <row r="26" ht="22.5" customHeight="1">
      <c r="A26" s="24" t="s">
        <v>87</v>
      </c>
      <c r="B26" s="24" t="s">
        <v>88</v>
      </c>
      <c r="C26" s="24">
        <f>MATCH(B26, data!A:A, 0)</f>
        <v>459</v>
      </c>
      <c r="D26" s="25">
        <f t="shared" si="3"/>
        <v>1.8335</v>
      </c>
      <c r="E26" s="25">
        <f t="shared" si="4"/>
        <v>1500</v>
      </c>
      <c r="F26" s="18">
        <v>2250.0</v>
      </c>
      <c r="G26" s="17">
        <f t="shared" si="8"/>
        <v>2250</v>
      </c>
      <c r="H26" s="15">
        <f t="shared" si="12"/>
        <v>0</v>
      </c>
      <c r="I26" s="15">
        <f t="shared" si="13"/>
        <v>3200.865295</v>
      </c>
      <c r="J26" s="15">
        <f t="shared" si="5"/>
        <v>-4.694347557</v>
      </c>
      <c r="K26" s="15">
        <f t="shared" si="9"/>
        <v>-0.3938211038</v>
      </c>
      <c r="O26" s="6" t="s">
        <v>89</v>
      </c>
    </row>
    <row r="27" ht="22.5" customHeight="1">
      <c r="A27" s="24" t="s">
        <v>90</v>
      </c>
      <c r="B27" s="24" t="s">
        <v>91</v>
      </c>
      <c r="C27" s="24">
        <f>MATCH(B27, data!A:A, 0)</f>
        <v>481</v>
      </c>
      <c r="D27" s="25">
        <f t="shared" si="3"/>
        <v>2.89</v>
      </c>
      <c r="E27" s="25">
        <f t="shared" si="4"/>
        <v>1920</v>
      </c>
      <c r="F27" s="18">
        <v>9000.0</v>
      </c>
      <c r="G27" s="17">
        <f t="shared" si="8"/>
        <v>9000</v>
      </c>
      <c r="H27" s="15">
        <f t="shared" si="12"/>
        <v>0</v>
      </c>
      <c r="I27" s="15">
        <f t="shared" si="13"/>
        <v>6502.5</v>
      </c>
      <c r="J27" s="15">
        <f t="shared" si="5"/>
        <v>-12.36387486</v>
      </c>
      <c r="K27" s="15">
        <f t="shared" si="9"/>
        <v>-0.9095264266</v>
      </c>
      <c r="O27" s="6" t="s">
        <v>92</v>
      </c>
    </row>
    <row r="28" ht="22.5" customHeight="1">
      <c r="A28" s="24" t="s">
        <v>93</v>
      </c>
      <c r="B28" s="24" t="s">
        <v>94</v>
      </c>
      <c r="C28" s="24">
        <f>MATCH(B28, data!A:A, 0)</f>
        <v>504</v>
      </c>
      <c r="D28" s="25">
        <f t="shared" si="3"/>
        <v>1.9</v>
      </c>
      <c r="E28" s="25">
        <f t="shared" si="4"/>
        <v>1440</v>
      </c>
      <c r="F28" s="18">
        <v>9350.0</v>
      </c>
      <c r="G28" s="17">
        <f t="shared" si="8"/>
        <v>9246.024721</v>
      </c>
      <c r="H28" s="15">
        <f t="shared" si="12"/>
        <v>0</v>
      </c>
      <c r="I28" s="15">
        <f t="shared" si="13"/>
        <v>17100</v>
      </c>
      <c r="J28" s="15">
        <f t="shared" si="5"/>
        <v>-10.98839574</v>
      </c>
      <c r="K28" s="15">
        <f t="shared" si="9"/>
        <v>-0.4794936323</v>
      </c>
      <c r="O28" s="6" t="s">
        <v>95</v>
      </c>
    </row>
    <row r="29" ht="22.5" customHeight="1">
      <c r="A29" s="24" t="s">
        <v>96</v>
      </c>
      <c r="B29" s="24" t="s">
        <v>97</v>
      </c>
      <c r="C29" s="24">
        <f>MATCH(B29, data!A:A, 0)</f>
        <v>515</v>
      </c>
      <c r="D29" s="25">
        <f t="shared" si="3"/>
        <v>6</v>
      </c>
      <c r="E29" s="25">
        <f t="shared" si="4"/>
        <v>720</v>
      </c>
      <c r="F29" s="18">
        <v>23000.0</v>
      </c>
      <c r="G29" s="17">
        <f t="shared" si="8"/>
        <v>23546.63442</v>
      </c>
      <c r="H29" s="15">
        <f t="shared" si="12"/>
        <v>0</v>
      </c>
      <c r="I29" s="15">
        <f t="shared" si="13"/>
        <v>55476.14833</v>
      </c>
      <c r="J29" s="15">
        <f t="shared" si="5"/>
        <v>14.5241412</v>
      </c>
      <c r="K29" s="15">
        <f t="shared" si="9"/>
        <v>0.2533280441</v>
      </c>
      <c r="O29" s="6" t="s">
        <v>98</v>
      </c>
    </row>
    <row r="30" ht="22.5" customHeight="1">
      <c r="A30" s="24" t="s">
        <v>99</v>
      </c>
      <c r="B30" s="24" t="s">
        <v>100</v>
      </c>
      <c r="C30" s="24">
        <f>MATCH(B30, data!A:A, 0)</f>
        <v>521</v>
      </c>
      <c r="D30" s="25">
        <f t="shared" si="3"/>
        <v>2.61</v>
      </c>
      <c r="E30" s="25">
        <f t="shared" si="4"/>
        <v>720</v>
      </c>
      <c r="F30" s="18">
        <v>39000.0</v>
      </c>
      <c r="G30" s="17">
        <f t="shared" si="8"/>
        <v>39499.84734</v>
      </c>
      <c r="H30" s="15">
        <f t="shared" si="12"/>
        <v>0</v>
      </c>
      <c r="I30" s="15">
        <f t="shared" si="13"/>
        <v>61456.71583</v>
      </c>
      <c r="J30" s="15">
        <f t="shared" si="5"/>
        <v>136.087596</v>
      </c>
      <c r="K30" s="15">
        <f t="shared" si="9"/>
        <v>1.633051152</v>
      </c>
      <c r="O30" s="6" t="s">
        <v>101</v>
      </c>
    </row>
    <row r="31">
      <c r="G31" s="5"/>
    </row>
    <row r="32">
      <c r="G32" s="5"/>
    </row>
    <row r="33">
      <c r="G33" s="5"/>
    </row>
    <row r="34">
      <c r="G34" s="5"/>
    </row>
    <row r="35">
      <c r="G35" s="5"/>
    </row>
    <row r="36">
      <c r="G36" s="5"/>
    </row>
    <row r="37">
      <c r="G37" s="5"/>
    </row>
    <row r="38">
      <c r="G38" s="5"/>
    </row>
    <row r="39">
      <c r="G39" s="5"/>
    </row>
    <row r="40">
      <c r="G40" s="5"/>
    </row>
    <row r="41">
      <c r="G41" s="5"/>
    </row>
    <row r="42">
      <c r="G42" s="5"/>
    </row>
    <row r="43">
      <c r="G43" s="5"/>
    </row>
    <row r="44">
      <c r="G44" s="5"/>
    </row>
    <row r="45">
      <c r="G45" s="5"/>
    </row>
    <row r="46">
      <c r="G46" s="5"/>
    </row>
    <row r="47">
      <c r="G47" s="5"/>
    </row>
    <row r="48">
      <c r="G48" s="5"/>
    </row>
    <row r="49">
      <c r="G49" s="5"/>
    </row>
    <row r="50">
      <c r="G50" s="5"/>
    </row>
    <row r="51">
      <c r="G51" s="5"/>
    </row>
    <row r="52">
      <c r="G52" s="5"/>
    </row>
    <row r="53">
      <c r="G53" s="5"/>
    </row>
    <row r="54">
      <c r="G54" s="5"/>
    </row>
    <row r="55">
      <c r="G55" s="5"/>
    </row>
    <row r="56">
      <c r="G56" s="5"/>
    </row>
    <row r="57">
      <c r="G57" s="5"/>
    </row>
    <row r="58">
      <c r="G58" s="5"/>
    </row>
    <row r="59">
      <c r="G59" s="5"/>
    </row>
    <row r="60">
      <c r="G60" s="5"/>
    </row>
    <row r="61">
      <c r="G61" s="5"/>
    </row>
    <row r="62">
      <c r="G62" s="5"/>
    </row>
    <row r="63">
      <c r="G63" s="5"/>
    </row>
    <row r="64">
      <c r="G64" s="5"/>
    </row>
    <row r="65">
      <c r="G65" s="5"/>
    </row>
    <row r="66">
      <c r="G66" s="5"/>
    </row>
    <row r="67">
      <c r="G67" s="5"/>
    </row>
    <row r="68">
      <c r="G68" s="5"/>
    </row>
    <row r="69">
      <c r="G69" s="5"/>
    </row>
    <row r="70">
      <c r="G70" s="5"/>
    </row>
    <row r="71">
      <c r="G71" s="5"/>
    </row>
    <row r="72">
      <c r="G72" s="5"/>
    </row>
    <row r="73">
      <c r="G73" s="5"/>
    </row>
    <row r="74">
      <c r="G74" s="5"/>
    </row>
    <row r="75">
      <c r="G75" s="5"/>
    </row>
    <row r="76">
      <c r="G76" s="5"/>
    </row>
    <row r="77">
      <c r="G77" s="5"/>
    </row>
    <row r="78">
      <c r="G78" s="5"/>
    </row>
    <row r="79">
      <c r="G79" s="5"/>
    </row>
    <row r="80">
      <c r="G80" s="5"/>
    </row>
    <row r="81">
      <c r="G81" s="5"/>
    </row>
    <row r="82">
      <c r="G82" s="5"/>
    </row>
    <row r="83">
      <c r="G83" s="5"/>
    </row>
    <row r="84">
      <c r="G84" s="5"/>
    </row>
    <row r="85">
      <c r="G85" s="5"/>
    </row>
    <row r="86">
      <c r="G86" s="5"/>
    </row>
    <row r="87">
      <c r="G87" s="5"/>
    </row>
    <row r="88">
      <c r="G88" s="5"/>
    </row>
    <row r="89">
      <c r="G89" s="5"/>
    </row>
    <row r="90">
      <c r="G90" s="5"/>
    </row>
    <row r="91">
      <c r="G91" s="5"/>
    </row>
    <row r="92">
      <c r="G92" s="5"/>
    </row>
    <row r="93">
      <c r="G93" s="5"/>
    </row>
    <row r="94">
      <c r="G94" s="5"/>
    </row>
    <row r="95">
      <c r="G95" s="5"/>
    </row>
    <row r="96">
      <c r="G96" s="5"/>
    </row>
    <row r="97">
      <c r="G97" s="5"/>
    </row>
    <row r="98">
      <c r="G98" s="5"/>
    </row>
    <row r="99">
      <c r="G99" s="5"/>
    </row>
    <row r="100">
      <c r="G100" s="5"/>
    </row>
    <row r="101">
      <c r="G101" s="5"/>
    </row>
    <row r="102">
      <c r="G102" s="5"/>
    </row>
    <row r="103">
      <c r="G103" s="5"/>
    </row>
    <row r="104">
      <c r="G104" s="5"/>
    </row>
    <row r="105">
      <c r="G105" s="5"/>
    </row>
    <row r="106">
      <c r="G106" s="5"/>
    </row>
    <row r="107">
      <c r="G107" s="5"/>
    </row>
    <row r="108">
      <c r="G108" s="5"/>
    </row>
    <row r="109">
      <c r="G109" s="5"/>
    </row>
    <row r="110">
      <c r="G110" s="5"/>
    </row>
    <row r="111">
      <c r="G111" s="5"/>
    </row>
    <row r="112">
      <c r="G112" s="5"/>
    </row>
    <row r="113">
      <c r="G113" s="5"/>
    </row>
    <row r="114">
      <c r="G114" s="5"/>
    </row>
    <row r="115">
      <c r="G115" s="5"/>
    </row>
    <row r="116">
      <c r="G116" s="5"/>
    </row>
    <row r="117">
      <c r="G117" s="5"/>
    </row>
    <row r="118">
      <c r="G118" s="5"/>
    </row>
    <row r="119">
      <c r="G119" s="5"/>
    </row>
    <row r="120">
      <c r="G120" s="5"/>
    </row>
    <row r="121">
      <c r="G121" s="5"/>
    </row>
    <row r="122">
      <c r="G122" s="5"/>
    </row>
    <row r="123">
      <c r="G123" s="5"/>
    </row>
    <row r="124">
      <c r="G124" s="5"/>
    </row>
    <row r="125">
      <c r="G125" s="5"/>
    </row>
    <row r="126">
      <c r="G126" s="5"/>
    </row>
    <row r="127">
      <c r="G127" s="5"/>
    </row>
    <row r="128">
      <c r="G128" s="5"/>
    </row>
    <row r="129">
      <c r="G129" s="5"/>
    </row>
    <row r="130">
      <c r="G130" s="5"/>
    </row>
    <row r="131">
      <c r="G131" s="5"/>
    </row>
    <row r="132">
      <c r="G132" s="5"/>
    </row>
    <row r="133">
      <c r="G133" s="5"/>
    </row>
    <row r="134">
      <c r="G134" s="5"/>
    </row>
    <row r="135">
      <c r="G135" s="5"/>
    </row>
    <row r="136">
      <c r="G136" s="5"/>
    </row>
    <row r="137">
      <c r="G137" s="5"/>
    </row>
    <row r="138">
      <c r="G138" s="5"/>
    </row>
    <row r="139">
      <c r="G139" s="5"/>
    </row>
    <row r="140">
      <c r="G140" s="5"/>
    </row>
    <row r="141">
      <c r="G141" s="5"/>
    </row>
    <row r="142">
      <c r="G142" s="5"/>
    </row>
    <row r="143">
      <c r="G143" s="5"/>
    </row>
    <row r="144">
      <c r="G144" s="5"/>
    </row>
    <row r="145">
      <c r="G145" s="5"/>
    </row>
    <row r="146">
      <c r="G146" s="5"/>
    </row>
    <row r="147">
      <c r="G147" s="5"/>
    </row>
    <row r="148">
      <c r="G148" s="5"/>
    </row>
    <row r="149">
      <c r="G149" s="5"/>
    </row>
    <row r="150">
      <c r="G150" s="5"/>
    </row>
    <row r="151">
      <c r="G151" s="5"/>
    </row>
    <row r="152">
      <c r="G152" s="5"/>
    </row>
    <row r="153">
      <c r="G153" s="5"/>
    </row>
    <row r="154">
      <c r="G154" s="5"/>
    </row>
    <row r="155">
      <c r="G155" s="5"/>
    </row>
    <row r="156">
      <c r="G156" s="5"/>
    </row>
    <row r="157">
      <c r="G157" s="5"/>
    </row>
    <row r="158">
      <c r="G158" s="5"/>
    </row>
    <row r="159">
      <c r="G159" s="5"/>
    </row>
    <row r="160">
      <c r="G160" s="5"/>
    </row>
    <row r="161">
      <c r="G161" s="5"/>
    </row>
    <row r="162">
      <c r="G162" s="5"/>
    </row>
    <row r="163">
      <c r="G163" s="5"/>
    </row>
    <row r="164">
      <c r="G164" s="5"/>
    </row>
    <row r="165">
      <c r="G165" s="5"/>
    </row>
    <row r="166">
      <c r="G166" s="5"/>
    </row>
    <row r="167">
      <c r="G167" s="5"/>
    </row>
    <row r="168">
      <c r="G168" s="5"/>
    </row>
    <row r="169">
      <c r="G169" s="5"/>
    </row>
    <row r="170">
      <c r="G170" s="5"/>
    </row>
    <row r="171">
      <c r="G171" s="5"/>
    </row>
    <row r="172">
      <c r="G172" s="5"/>
    </row>
    <row r="173">
      <c r="G173" s="5"/>
    </row>
    <row r="174">
      <c r="G174" s="5"/>
    </row>
    <row r="175">
      <c r="G175" s="5"/>
    </row>
    <row r="176">
      <c r="G176" s="5"/>
    </row>
    <row r="177">
      <c r="G177" s="5"/>
    </row>
    <row r="178">
      <c r="G178" s="5"/>
    </row>
    <row r="179">
      <c r="G179" s="5"/>
    </row>
    <row r="180">
      <c r="G180" s="5"/>
    </row>
    <row r="181">
      <c r="G181" s="5"/>
    </row>
    <row r="182">
      <c r="G182" s="5"/>
    </row>
    <row r="183">
      <c r="G183" s="5"/>
    </row>
    <row r="184">
      <c r="G184" s="5"/>
    </row>
    <row r="185">
      <c r="G185" s="5"/>
    </row>
    <row r="186">
      <c r="G186" s="5"/>
    </row>
    <row r="187">
      <c r="G187" s="5"/>
    </row>
    <row r="188">
      <c r="G188" s="5"/>
    </row>
    <row r="189">
      <c r="G189" s="5"/>
    </row>
    <row r="190">
      <c r="G190" s="5"/>
    </row>
    <row r="191">
      <c r="G191" s="5"/>
    </row>
    <row r="192">
      <c r="G192" s="5"/>
    </row>
    <row r="193">
      <c r="G193" s="5"/>
    </row>
    <row r="194">
      <c r="G194" s="5"/>
    </row>
    <row r="195">
      <c r="G195" s="5"/>
    </row>
    <row r="196">
      <c r="G196" s="5"/>
    </row>
    <row r="197">
      <c r="G197" s="5"/>
    </row>
    <row r="198">
      <c r="G198" s="5"/>
    </row>
    <row r="199">
      <c r="G199" s="5"/>
    </row>
    <row r="200">
      <c r="G200" s="5"/>
    </row>
    <row r="201">
      <c r="G201" s="5"/>
    </row>
    <row r="202">
      <c r="G202" s="5"/>
    </row>
    <row r="203">
      <c r="G203" s="5"/>
    </row>
    <row r="204">
      <c r="G204" s="5"/>
    </row>
    <row r="205">
      <c r="G205" s="5"/>
    </row>
    <row r="206">
      <c r="G206" s="5"/>
    </row>
    <row r="207">
      <c r="G207" s="5"/>
    </row>
    <row r="208">
      <c r="G208" s="5"/>
    </row>
    <row r="209">
      <c r="G209" s="5"/>
    </row>
    <row r="210">
      <c r="G210" s="5"/>
    </row>
    <row r="211">
      <c r="G211" s="5"/>
    </row>
    <row r="212">
      <c r="G212" s="5"/>
    </row>
    <row r="213">
      <c r="G213" s="5"/>
    </row>
    <row r="214">
      <c r="G214" s="5"/>
    </row>
    <row r="215">
      <c r="G215" s="5"/>
    </row>
    <row r="216">
      <c r="G216" s="5"/>
    </row>
    <row r="217">
      <c r="G217" s="5"/>
    </row>
    <row r="218">
      <c r="G218" s="5"/>
    </row>
    <row r="219">
      <c r="G219" s="5"/>
    </row>
    <row r="220">
      <c r="G220" s="5"/>
    </row>
    <row r="221">
      <c r="G221" s="5"/>
    </row>
    <row r="222">
      <c r="G222" s="5"/>
    </row>
    <row r="223">
      <c r="G223" s="5"/>
    </row>
    <row r="224">
      <c r="G224" s="5"/>
    </row>
    <row r="225">
      <c r="G225" s="5"/>
    </row>
    <row r="226">
      <c r="G226" s="5"/>
    </row>
    <row r="227">
      <c r="G227" s="5"/>
    </row>
    <row r="228">
      <c r="G228" s="5"/>
    </row>
    <row r="229">
      <c r="G229" s="5"/>
    </row>
    <row r="230">
      <c r="G230" s="5"/>
    </row>
    <row r="231">
      <c r="G231" s="5"/>
    </row>
    <row r="232">
      <c r="G232" s="5"/>
    </row>
    <row r="233">
      <c r="G233" s="5"/>
    </row>
    <row r="234">
      <c r="G234" s="5"/>
    </row>
    <row r="235">
      <c r="G235" s="5"/>
    </row>
    <row r="236">
      <c r="G236" s="5"/>
    </row>
    <row r="237">
      <c r="G237" s="5"/>
    </row>
    <row r="238">
      <c r="G238" s="5"/>
    </row>
    <row r="239">
      <c r="G239" s="5"/>
    </row>
    <row r="240">
      <c r="G240" s="5"/>
    </row>
    <row r="241">
      <c r="G241" s="5"/>
    </row>
    <row r="242">
      <c r="G242" s="5"/>
    </row>
    <row r="243">
      <c r="G243" s="5"/>
    </row>
    <row r="244">
      <c r="G244" s="5"/>
    </row>
    <row r="245">
      <c r="G245" s="5"/>
    </row>
    <row r="246">
      <c r="G246" s="5"/>
    </row>
    <row r="247">
      <c r="G247" s="5"/>
    </row>
    <row r="248">
      <c r="G248" s="5"/>
    </row>
    <row r="249">
      <c r="G249" s="5"/>
    </row>
    <row r="250">
      <c r="G250" s="5"/>
    </row>
    <row r="251">
      <c r="G251" s="5"/>
    </row>
    <row r="252">
      <c r="G252" s="5"/>
    </row>
    <row r="253">
      <c r="G253" s="5"/>
    </row>
    <row r="254">
      <c r="G254" s="5"/>
    </row>
    <row r="255">
      <c r="G255" s="5"/>
    </row>
    <row r="256">
      <c r="G256" s="5"/>
    </row>
    <row r="257">
      <c r="F257" s="26" t="str">
        <f t="array" ref="F257">INDIRECT("renta!G$"&amp; MATCH(A264,renta!$A:$A,0)-(H264*renta!$G$7)/C264-(L264*renta!$G$17)/C264)</f>
        <v>#N/A</v>
      </c>
      <c r="G257" s="5"/>
    </row>
    <row r="258">
      <c r="G258" s="5"/>
    </row>
    <row r="259">
      <c r="G259" s="5"/>
    </row>
    <row r="260">
      <c r="G260" s="5"/>
    </row>
    <row r="261">
      <c r="G261" s="5"/>
    </row>
    <row r="262">
      <c r="G262" s="5"/>
    </row>
    <row r="263">
      <c r="G263" s="5"/>
    </row>
    <row r="264">
      <c r="G264" s="5"/>
    </row>
    <row r="265">
      <c r="G265" s="5"/>
    </row>
    <row r="266">
      <c r="G266" s="5"/>
    </row>
    <row r="267">
      <c r="G267" s="5"/>
    </row>
    <row r="268">
      <c r="G268" s="5"/>
    </row>
    <row r="269">
      <c r="G269" s="5"/>
    </row>
    <row r="270">
      <c r="G270" s="5"/>
    </row>
    <row r="271">
      <c r="G271" s="5"/>
    </row>
    <row r="272">
      <c r="G272" s="5"/>
    </row>
    <row r="273">
      <c r="G273" s="5"/>
    </row>
    <row r="274">
      <c r="G274" s="5"/>
    </row>
    <row r="275">
      <c r="G275" s="5"/>
    </row>
    <row r="276">
      <c r="G276" s="5"/>
    </row>
    <row r="277">
      <c r="G277" s="5"/>
    </row>
    <row r="278">
      <c r="G278" s="5"/>
    </row>
    <row r="279">
      <c r="G279" s="5"/>
    </row>
    <row r="280">
      <c r="G280" s="5"/>
    </row>
    <row r="281">
      <c r="G281" s="5"/>
    </row>
    <row r="282">
      <c r="G282" s="5"/>
    </row>
    <row r="283">
      <c r="G283" s="5"/>
    </row>
    <row r="284">
      <c r="G284" s="5"/>
    </row>
    <row r="285">
      <c r="G285" s="5"/>
    </row>
    <row r="286">
      <c r="G286" s="5"/>
    </row>
    <row r="287">
      <c r="G287" s="5"/>
    </row>
    <row r="288">
      <c r="G288" s="5"/>
    </row>
    <row r="289">
      <c r="G289" s="5"/>
    </row>
    <row r="290">
      <c r="G290" s="5"/>
    </row>
    <row r="291">
      <c r="G291" s="5"/>
    </row>
    <row r="292">
      <c r="G292" s="5"/>
    </row>
    <row r="293">
      <c r="G293" s="5"/>
    </row>
    <row r="294">
      <c r="G294" s="5"/>
    </row>
    <row r="295">
      <c r="G295" s="5"/>
    </row>
    <row r="296">
      <c r="G296" s="5"/>
    </row>
    <row r="297">
      <c r="G297" s="5"/>
    </row>
    <row r="298">
      <c r="G298" s="5"/>
    </row>
    <row r="299">
      <c r="G299" s="5"/>
    </row>
    <row r="300">
      <c r="G300" s="5"/>
    </row>
    <row r="301">
      <c r="G301" s="5"/>
    </row>
    <row r="302">
      <c r="G302" s="5"/>
    </row>
    <row r="303">
      <c r="G303" s="5"/>
    </row>
    <row r="304">
      <c r="G304" s="5"/>
    </row>
    <row r="305">
      <c r="G305" s="5"/>
    </row>
    <row r="306">
      <c r="G306" s="5"/>
    </row>
    <row r="307">
      <c r="G307" s="5"/>
    </row>
    <row r="308">
      <c r="G308" s="5"/>
    </row>
    <row r="309">
      <c r="G309" s="5"/>
    </row>
    <row r="310">
      <c r="G310" s="5"/>
    </row>
    <row r="311">
      <c r="G311" s="5"/>
    </row>
    <row r="312">
      <c r="G312" s="5"/>
    </row>
    <row r="313">
      <c r="G313" s="5"/>
    </row>
    <row r="314">
      <c r="G314" s="5"/>
    </row>
    <row r="315">
      <c r="G315" s="5"/>
    </row>
    <row r="316">
      <c r="G316" s="5"/>
    </row>
    <row r="317">
      <c r="G317" s="5"/>
    </row>
    <row r="318">
      <c r="G318" s="5"/>
    </row>
    <row r="319">
      <c r="G319" s="5"/>
    </row>
    <row r="320">
      <c r="G320" s="5"/>
    </row>
    <row r="321">
      <c r="G321" s="5"/>
    </row>
    <row r="322">
      <c r="G322" s="5"/>
    </row>
    <row r="323">
      <c r="G323" s="5"/>
    </row>
    <row r="324">
      <c r="G324" s="5"/>
    </row>
    <row r="325">
      <c r="G325" s="5"/>
    </row>
    <row r="326">
      <c r="G326" s="5"/>
    </row>
    <row r="327">
      <c r="G327" s="5"/>
    </row>
    <row r="328">
      <c r="G328" s="5"/>
    </row>
    <row r="329">
      <c r="G329" s="5"/>
    </row>
    <row r="330">
      <c r="G330" s="5"/>
    </row>
    <row r="331">
      <c r="G331" s="5"/>
    </row>
    <row r="332">
      <c r="G332" s="5"/>
    </row>
    <row r="333">
      <c r="G333" s="5"/>
    </row>
    <row r="334">
      <c r="G334" s="5"/>
    </row>
    <row r="335">
      <c r="G335" s="5"/>
    </row>
    <row r="336">
      <c r="G336" s="5"/>
    </row>
    <row r="337">
      <c r="G337" s="5"/>
    </row>
    <row r="338">
      <c r="G338" s="5"/>
    </row>
    <row r="339">
      <c r="G339" s="5"/>
    </row>
    <row r="340">
      <c r="G340" s="5"/>
    </row>
    <row r="341">
      <c r="G341" s="5"/>
    </row>
    <row r="342">
      <c r="G342" s="5"/>
    </row>
    <row r="343">
      <c r="G343" s="5"/>
    </row>
    <row r="344">
      <c r="G344" s="5"/>
    </row>
    <row r="345">
      <c r="G345" s="5"/>
    </row>
    <row r="346">
      <c r="G346" s="5"/>
    </row>
    <row r="347">
      <c r="G347" s="5"/>
    </row>
    <row r="348">
      <c r="G348" s="5"/>
    </row>
    <row r="349">
      <c r="G349" s="5"/>
    </row>
    <row r="350">
      <c r="G350" s="5"/>
    </row>
    <row r="351">
      <c r="G351" s="5"/>
    </row>
    <row r="352">
      <c r="G352" s="5"/>
    </row>
    <row r="353">
      <c r="G353" s="5"/>
    </row>
    <row r="354">
      <c r="G354" s="5"/>
    </row>
    <row r="355">
      <c r="G355" s="5"/>
    </row>
    <row r="356">
      <c r="G356" s="5"/>
    </row>
    <row r="357">
      <c r="G357" s="5"/>
    </row>
    <row r="358">
      <c r="G358" s="5"/>
    </row>
    <row r="359">
      <c r="G359" s="5"/>
    </row>
    <row r="360">
      <c r="G360" s="5"/>
    </row>
    <row r="361">
      <c r="G361" s="5"/>
    </row>
    <row r="362">
      <c r="G362" s="5"/>
    </row>
    <row r="363">
      <c r="G363" s="5"/>
    </row>
    <row r="364">
      <c r="G364" s="5"/>
    </row>
    <row r="365">
      <c r="G365" s="5"/>
    </row>
    <row r="366">
      <c r="G366" s="5"/>
    </row>
    <row r="367">
      <c r="G367" s="5"/>
    </row>
    <row r="368">
      <c r="G368" s="5"/>
    </row>
    <row r="369">
      <c r="G369" s="5"/>
    </row>
    <row r="370">
      <c r="G370" s="5"/>
    </row>
    <row r="371">
      <c r="G371" s="5"/>
    </row>
    <row r="372">
      <c r="G372" s="5"/>
    </row>
    <row r="373">
      <c r="G373" s="5"/>
    </row>
    <row r="374">
      <c r="G374" s="5"/>
    </row>
    <row r="375">
      <c r="G375" s="5"/>
    </row>
    <row r="376">
      <c r="G376" s="5"/>
    </row>
    <row r="377">
      <c r="G377" s="5"/>
    </row>
    <row r="378">
      <c r="G378" s="5"/>
    </row>
    <row r="379">
      <c r="G379" s="5"/>
    </row>
    <row r="380">
      <c r="G380" s="5"/>
    </row>
    <row r="381">
      <c r="G381" s="5"/>
    </row>
    <row r="382">
      <c r="G382" s="5"/>
    </row>
    <row r="383">
      <c r="G383" s="5"/>
    </row>
    <row r="384">
      <c r="G384" s="5"/>
    </row>
    <row r="385">
      <c r="G385" s="5"/>
    </row>
    <row r="386">
      <c r="G386" s="5"/>
    </row>
    <row r="387">
      <c r="G387" s="5"/>
    </row>
    <row r="388">
      <c r="G388" s="5"/>
    </row>
    <row r="389">
      <c r="G389" s="5"/>
    </row>
    <row r="390">
      <c r="G390" s="5"/>
    </row>
    <row r="391">
      <c r="G391" s="5"/>
    </row>
    <row r="392">
      <c r="G392" s="5"/>
    </row>
    <row r="393">
      <c r="G393" s="5"/>
    </row>
    <row r="394">
      <c r="G394" s="5"/>
    </row>
    <row r="395">
      <c r="G395" s="5"/>
    </row>
    <row r="396">
      <c r="G396" s="5"/>
    </row>
    <row r="397">
      <c r="G397" s="5"/>
    </row>
    <row r="398">
      <c r="G398" s="5"/>
    </row>
    <row r="399">
      <c r="G399" s="5"/>
    </row>
    <row r="400">
      <c r="G400" s="5"/>
    </row>
    <row r="401">
      <c r="G401" s="5"/>
    </row>
    <row r="402">
      <c r="G402" s="5"/>
    </row>
    <row r="403">
      <c r="G403" s="5"/>
    </row>
    <row r="404">
      <c r="G404" s="5"/>
    </row>
    <row r="405">
      <c r="G405" s="5"/>
    </row>
    <row r="406">
      <c r="G406" s="5"/>
    </row>
    <row r="407">
      <c r="G407" s="5"/>
    </row>
    <row r="408">
      <c r="G408" s="5"/>
    </row>
    <row r="409">
      <c r="G409" s="5"/>
    </row>
    <row r="410">
      <c r="G410" s="5"/>
    </row>
    <row r="411">
      <c r="G411" s="5"/>
    </row>
    <row r="412">
      <c r="G412" s="5"/>
    </row>
    <row r="413">
      <c r="G413" s="5"/>
    </row>
    <row r="414">
      <c r="G414" s="5"/>
    </row>
    <row r="415">
      <c r="G415" s="5"/>
    </row>
    <row r="416">
      <c r="G416" s="5"/>
    </row>
    <row r="417">
      <c r="G417" s="5"/>
    </row>
    <row r="418">
      <c r="G418" s="5"/>
    </row>
    <row r="419">
      <c r="G419" s="5"/>
    </row>
    <row r="420">
      <c r="G420" s="5"/>
    </row>
    <row r="421">
      <c r="G421" s="5"/>
    </row>
    <row r="422">
      <c r="G422" s="5"/>
    </row>
    <row r="423">
      <c r="G423" s="5"/>
    </row>
    <row r="424">
      <c r="G424" s="5"/>
    </row>
    <row r="425">
      <c r="G425" s="5"/>
    </row>
    <row r="426">
      <c r="G426" s="5"/>
    </row>
    <row r="427">
      <c r="G427" s="5"/>
    </row>
    <row r="428">
      <c r="G428" s="5"/>
    </row>
    <row r="429">
      <c r="G429" s="5"/>
    </row>
    <row r="430">
      <c r="G430" s="5"/>
    </row>
    <row r="431">
      <c r="G431" s="5"/>
    </row>
    <row r="432">
      <c r="G432" s="5"/>
    </row>
    <row r="433">
      <c r="G433" s="5"/>
    </row>
    <row r="434">
      <c r="G434" s="5"/>
    </row>
    <row r="435">
      <c r="G435" s="5"/>
    </row>
    <row r="436">
      <c r="G436" s="5"/>
    </row>
    <row r="437">
      <c r="G437" s="5"/>
    </row>
    <row r="438">
      <c r="G438" s="5"/>
    </row>
    <row r="439">
      <c r="G439" s="5"/>
    </row>
    <row r="440">
      <c r="G440" s="5"/>
    </row>
    <row r="441">
      <c r="G441" s="5"/>
    </row>
    <row r="442">
      <c r="G442" s="5"/>
    </row>
    <row r="443">
      <c r="G443" s="5"/>
    </row>
    <row r="444">
      <c r="G444" s="5"/>
    </row>
    <row r="445">
      <c r="G445" s="5"/>
    </row>
    <row r="446">
      <c r="G446" s="5"/>
    </row>
    <row r="447">
      <c r="G447" s="5"/>
    </row>
    <row r="448">
      <c r="G448" s="5"/>
    </row>
    <row r="449">
      <c r="G449" s="5"/>
    </row>
    <row r="450">
      <c r="G450" s="5"/>
    </row>
    <row r="451">
      <c r="G451" s="5"/>
    </row>
    <row r="452">
      <c r="G452" s="5"/>
    </row>
    <row r="453">
      <c r="G453" s="5"/>
    </row>
    <row r="454">
      <c r="G454" s="5"/>
    </row>
    <row r="455">
      <c r="G455" s="5"/>
    </row>
    <row r="456">
      <c r="G456" s="5"/>
    </row>
    <row r="457">
      <c r="G457" s="5"/>
    </row>
    <row r="458">
      <c r="G458" s="5"/>
    </row>
    <row r="459">
      <c r="G459" s="5"/>
    </row>
    <row r="460">
      <c r="G460" s="5"/>
    </row>
    <row r="461">
      <c r="G461" s="5"/>
    </row>
    <row r="462">
      <c r="G462" s="5"/>
    </row>
    <row r="463">
      <c r="G463" s="5"/>
    </row>
    <row r="464">
      <c r="G464" s="5"/>
    </row>
    <row r="465">
      <c r="G465" s="5"/>
    </row>
    <row r="466">
      <c r="G466" s="5"/>
    </row>
    <row r="467">
      <c r="G467" s="5"/>
    </row>
    <row r="468">
      <c r="G468" s="5"/>
    </row>
    <row r="469">
      <c r="G469" s="5"/>
    </row>
    <row r="470">
      <c r="G470" s="5"/>
    </row>
    <row r="471">
      <c r="G471" s="5"/>
    </row>
    <row r="472">
      <c r="G472" s="5"/>
    </row>
    <row r="473">
      <c r="G473" s="5"/>
    </row>
    <row r="474">
      <c r="G474" s="5"/>
    </row>
    <row r="475">
      <c r="G475" s="5"/>
    </row>
    <row r="476">
      <c r="G476" s="5"/>
    </row>
    <row r="477">
      <c r="G477" s="5"/>
    </row>
    <row r="478">
      <c r="G478" s="5"/>
    </row>
    <row r="479">
      <c r="G479" s="5"/>
    </row>
    <row r="480">
      <c r="G480" s="5"/>
    </row>
    <row r="481">
      <c r="G481" s="5"/>
    </row>
    <row r="482">
      <c r="G482" s="5"/>
    </row>
    <row r="483">
      <c r="G483" s="5"/>
    </row>
    <row r="484">
      <c r="G484" s="5"/>
    </row>
    <row r="485">
      <c r="G485" s="5"/>
    </row>
    <row r="486">
      <c r="G486" s="5"/>
    </row>
    <row r="487">
      <c r="G487" s="5"/>
    </row>
    <row r="488">
      <c r="G488" s="5"/>
    </row>
    <row r="489">
      <c r="G489" s="5"/>
    </row>
    <row r="490">
      <c r="G490" s="5"/>
    </row>
    <row r="491">
      <c r="G491" s="5"/>
    </row>
    <row r="492">
      <c r="G492" s="5"/>
    </row>
    <row r="493">
      <c r="G493" s="5"/>
    </row>
    <row r="494">
      <c r="G494" s="5"/>
    </row>
    <row r="495">
      <c r="G495" s="5"/>
    </row>
    <row r="496">
      <c r="G496" s="5"/>
    </row>
    <row r="497">
      <c r="G497" s="5"/>
    </row>
    <row r="498">
      <c r="G498" s="5"/>
    </row>
    <row r="499">
      <c r="G499" s="5"/>
    </row>
    <row r="500">
      <c r="G500" s="5"/>
    </row>
    <row r="501">
      <c r="G501" s="5"/>
    </row>
    <row r="502">
      <c r="G502" s="5"/>
    </row>
    <row r="503">
      <c r="G503" s="5"/>
    </row>
    <row r="504">
      <c r="G504" s="5"/>
    </row>
    <row r="505">
      <c r="G505" s="5"/>
    </row>
    <row r="506">
      <c r="G506" s="5"/>
    </row>
    <row r="507">
      <c r="G507" s="5"/>
    </row>
    <row r="508">
      <c r="G508" s="5"/>
    </row>
    <row r="509">
      <c r="G509" s="5"/>
    </row>
    <row r="510">
      <c r="G510" s="5"/>
    </row>
    <row r="511">
      <c r="G511" s="5"/>
    </row>
    <row r="512">
      <c r="G512" s="5"/>
    </row>
    <row r="513">
      <c r="G513" s="5"/>
    </row>
    <row r="514">
      <c r="G514" s="5"/>
    </row>
    <row r="515">
      <c r="G515" s="5"/>
    </row>
    <row r="516">
      <c r="G516" s="5"/>
    </row>
    <row r="517">
      <c r="G517" s="5"/>
    </row>
    <row r="518">
      <c r="G518" s="5"/>
    </row>
    <row r="519">
      <c r="G519" s="5"/>
    </row>
    <row r="520">
      <c r="G520" s="5"/>
    </row>
    <row r="521">
      <c r="G521" s="5"/>
    </row>
    <row r="522">
      <c r="G522" s="5"/>
    </row>
    <row r="523">
      <c r="G523" s="5"/>
    </row>
    <row r="524">
      <c r="G524" s="5"/>
    </row>
    <row r="525">
      <c r="G525" s="5"/>
    </row>
    <row r="526">
      <c r="G526" s="5"/>
    </row>
    <row r="527">
      <c r="G527" s="5"/>
    </row>
    <row r="528">
      <c r="G528" s="5"/>
    </row>
    <row r="529">
      <c r="G529" s="5"/>
    </row>
    <row r="530">
      <c r="G530" s="5"/>
    </row>
    <row r="531">
      <c r="G531" s="5"/>
    </row>
    <row r="532">
      <c r="G532" s="5"/>
    </row>
    <row r="533">
      <c r="G533" s="5"/>
    </row>
    <row r="534">
      <c r="G534" s="5"/>
    </row>
    <row r="535">
      <c r="G535" s="5"/>
    </row>
    <row r="536">
      <c r="G536" s="5"/>
    </row>
    <row r="537">
      <c r="G537" s="5"/>
    </row>
    <row r="538">
      <c r="G538" s="5"/>
    </row>
    <row r="539">
      <c r="G539" s="5"/>
    </row>
    <row r="540">
      <c r="G540" s="5"/>
    </row>
    <row r="541">
      <c r="G541" s="5"/>
    </row>
    <row r="542">
      <c r="G542" s="5"/>
    </row>
    <row r="543">
      <c r="G543" s="5"/>
    </row>
    <row r="544">
      <c r="G544" s="5"/>
    </row>
    <row r="545">
      <c r="G545" s="5"/>
    </row>
    <row r="546">
      <c r="G546" s="5"/>
    </row>
    <row r="547">
      <c r="G547" s="5"/>
    </row>
    <row r="548">
      <c r="G548" s="5"/>
    </row>
    <row r="549">
      <c r="G549" s="5"/>
    </row>
    <row r="550">
      <c r="G550" s="5"/>
    </row>
    <row r="551">
      <c r="G551" s="5"/>
    </row>
    <row r="552">
      <c r="G552" s="5"/>
    </row>
    <row r="553">
      <c r="G553" s="5"/>
    </row>
    <row r="554">
      <c r="G554" s="5"/>
    </row>
    <row r="555">
      <c r="G555" s="5"/>
    </row>
    <row r="556">
      <c r="G556" s="5"/>
    </row>
    <row r="557">
      <c r="G557" s="5"/>
    </row>
    <row r="558">
      <c r="G558" s="5"/>
    </row>
    <row r="559">
      <c r="G559" s="5"/>
    </row>
    <row r="560">
      <c r="G560" s="5"/>
    </row>
    <row r="561">
      <c r="G561" s="5"/>
    </row>
    <row r="562">
      <c r="G562" s="5"/>
    </row>
    <row r="563">
      <c r="G563" s="5"/>
    </row>
    <row r="564">
      <c r="G564" s="5"/>
    </row>
    <row r="565">
      <c r="G565" s="5"/>
    </row>
    <row r="566">
      <c r="G566" s="5"/>
    </row>
    <row r="567">
      <c r="G567" s="5"/>
    </row>
    <row r="568">
      <c r="G568" s="5"/>
    </row>
    <row r="569">
      <c r="G569" s="5"/>
    </row>
    <row r="570">
      <c r="G570" s="5"/>
    </row>
    <row r="571">
      <c r="G571" s="5"/>
    </row>
    <row r="572">
      <c r="G572" s="5"/>
    </row>
    <row r="573">
      <c r="G573" s="5"/>
    </row>
    <row r="574">
      <c r="G574" s="5"/>
    </row>
    <row r="575">
      <c r="G575" s="5"/>
    </row>
    <row r="576">
      <c r="G576" s="5"/>
    </row>
    <row r="577">
      <c r="G577" s="5"/>
    </row>
    <row r="578">
      <c r="G578" s="5"/>
    </row>
    <row r="579">
      <c r="G579" s="5"/>
    </row>
    <row r="580">
      <c r="G580" s="5"/>
    </row>
    <row r="581">
      <c r="G581" s="5"/>
    </row>
    <row r="582">
      <c r="G582" s="5"/>
    </row>
    <row r="583">
      <c r="G583" s="5"/>
    </row>
    <row r="584">
      <c r="G584" s="5"/>
    </row>
    <row r="585">
      <c r="G585" s="5"/>
    </row>
    <row r="586">
      <c r="G586" s="5"/>
    </row>
    <row r="587">
      <c r="G587" s="5"/>
    </row>
    <row r="588">
      <c r="G588" s="5"/>
    </row>
    <row r="589">
      <c r="G589" s="5"/>
    </row>
    <row r="590">
      <c r="G590" s="5"/>
    </row>
    <row r="591">
      <c r="G591" s="5"/>
    </row>
    <row r="592">
      <c r="G592" s="5"/>
    </row>
    <row r="593">
      <c r="G593" s="5"/>
    </row>
    <row r="594">
      <c r="G594" s="5"/>
    </row>
    <row r="595">
      <c r="G595" s="5"/>
    </row>
    <row r="596">
      <c r="G596" s="5"/>
    </row>
    <row r="597">
      <c r="G597" s="5"/>
    </row>
    <row r="598">
      <c r="G598" s="5"/>
    </row>
    <row r="599">
      <c r="G599" s="5"/>
    </row>
    <row r="600">
      <c r="G600" s="5"/>
    </row>
    <row r="601">
      <c r="G601" s="5"/>
    </row>
    <row r="602">
      <c r="G602" s="5"/>
    </row>
    <row r="603">
      <c r="G603" s="5"/>
    </row>
    <row r="604">
      <c r="G604" s="5"/>
    </row>
    <row r="605">
      <c r="G605" s="5"/>
    </row>
    <row r="606">
      <c r="G606" s="5"/>
    </row>
    <row r="607">
      <c r="G607" s="5"/>
    </row>
    <row r="608">
      <c r="G608" s="5"/>
    </row>
    <row r="609">
      <c r="G609" s="5"/>
    </row>
    <row r="610">
      <c r="G610" s="5"/>
    </row>
    <row r="611">
      <c r="G611" s="5"/>
    </row>
    <row r="612">
      <c r="G612" s="5"/>
    </row>
    <row r="613">
      <c r="G613" s="5"/>
    </row>
    <row r="614">
      <c r="G614" s="5"/>
    </row>
    <row r="615">
      <c r="G615" s="5"/>
    </row>
    <row r="616">
      <c r="G616" s="5"/>
    </row>
    <row r="617">
      <c r="G617" s="5"/>
    </row>
    <row r="618">
      <c r="G618" s="5"/>
    </row>
    <row r="619">
      <c r="G619" s="5"/>
    </row>
    <row r="620">
      <c r="G620" s="5"/>
    </row>
    <row r="621">
      <c r="G621" s="5"/>
    </row>
    <row r="622">
      <c r="G622" s="5"/>
    </row>
    <row r="623">
      <c r="G623" s="5"/>
    </row>
    <row r="624">
      <c r="G624" s="5"/>
    </row>
    <row r="625">
      <c r="G625" s="5"/>
    </row>
    <row r="626">
      <c r="G626" s="5"/>
    </row>
    <row r="627">
      <c r="G627" s="5"/>
    </row>
    <row r="628">
      <c r="G628" s="5"/>
    </row>
    <row r="629">
      <c r="G629" s="5"/>
    </row>
    <row r="630">
      <c r="G630" s="5"/>
    </row>
    <row r="631">
      <c r="G631" s="5"/>
    </row>
    <row r="632">
      <c r="G632" s="5"/>
    </row>
    <row r="633">
      <c r="G633" s="5"/>
    </row>
    <row r="634">
      <c r="G634" s="5"/>
    </row>
    <row r="635">
      <c r="G635" s="5"/>
    </row>
    <row r="636">
      <c r="G636" s="5"/>
    </row>
    <row r="637">
      <c r="G637" s="5"/>
    </row>
    <row r="638">
      <c r="G638" s="5"/>
    </row>
    <row r="639">
      <c r="G639" s="5"/>
    </row>
    <row r="640">
      <c r="G640" s="5"/>
    </row>
    <row r="641">
      <c r="G641" s="5"/>
    </row>
    <row r="642">
      <c r="G642" s="5"/>
    </row>
    <row r="643">
      <c r="G643" s="5"/>
    </row>
    <row r="644">
      <c r="G644" s="5"/>
    </row>
    <row r="645">
      <c r="G645" s="5"/>
    </row>
    <row r="646">
      <c r="G646" s="5"/>
    </row>
    <row r="647">
      <c r="G647" s="5"/>
    </row>
    <row r="648">
      <c r="G648" s="5"/>
    </row>
    <row r="649">
      <c r="G649" s="5"/>
    </row>
    <row r="650">
      <c r="G650" s="5"/>
    </row>
    <row r="651">
      <c r="G651" s="5"/>
    </row>
    <row r="652">
      <c r="G652" s="5"/>
    </row>
    <row r="653">
      <c r="G653" s="5"/>
    </row>
    <row r="654">
      <c r="G654" s="5"/>
    </row>
    <row r="655">
      <c r="G655" s="5"/>
    </row>
    <row r="656">
      <c r="G656" s="5"/>
    </row>
    <row r="657">
      <c r="G657" s="5"/>
    </row>
    <row r="658">
      <c r="G658" s="5"/>
    </row>
    <row r="659">
      <c r="G659" s="5"/>
    </row>
    <row r="660">
      <c r="G660" s="5"/>
    </row>
    <row r="661">
      <c r="G661" s="5"/>
    </row>
    <row r="662">
      <c r="G662" s="5"/>
    </row>
    <row r="663">
      <c r="G663" s="5"/>
    </row>
    <row r="664">
      <c r="G664" s="5"/>
    </row>
    <row r="665">
      <c r="G665" s="5"/>
    </row>
    <row r="666">
      <c r="G666" s="5"/>
    </row>
    <row r="667">
      <c r="G667" s="5"/>
    </row>
    <row r="668">
      <c r="G668" s="5"/>
    </row>
    <row r="669">
      <c r="G669" s="5"/>
    </row>
    <row r="670">
      <c r="G670" s="5"/>
    </row>
    <row r="671">
      <c r="G671" s="5"/>
    </row>
    <row r="672">
      <c r="G672" s="5"/>
    </row>
    <row r="673">
      <c r="G673" s="5"/>
    </row>
    <row r="674">
      <c r="G674" s="5"/>
    </row>
    <row r="675">
      <c r="G675" s="5"/>
    </row>
    <row r="676">
      <c r="G676" s="5"/>
    </row>
    <row r="677">
      <c r="G677" s="5"/>
    </row>
    <row r="678">
      <c r="G678" s="5"/>
    </row>
    <row r="679">
      <c r="G679" s="5"/>
    </row>
    <row r="680">
      <c r="G680" s="5"/>
    </row>
    <row r="681">
      <c r="G681" s="5"/>
    </row>
    <row r="682">
      <c r="G682" s="5"/>
    </row>
    <row r="683">
      <c r="G683" s="5"/>
    </row>
    <row r="684">
      <c r="G684" s="5"/>
    </row>
    <row r="685">
      <c r="G685" s="5"/>
    </row>
    <row r="686">
      <c r="G686" s="5"/>
    </row>
    <row r="687">
      <c r="G687" s="5"/>
    </row>
    <row r="688">
      <c r="G688" s="5"/>
    </row>
    <row r="689">
      <c r="G689" s="5"/>
    </row>
    <row r="690">
      <c r="G690" s="5"/>
    </row>
    <row r="691">
      <c r="G691" s="5"/>
    </row>
    <row r="692">
      <c r="G692" s="5"/>
    </row>
    <row r="693">
      <c r="G693" s="5"/>
    </row>
    <row r="694">
      <c r="G694" s="5"/>
    </row>
    <row r="695">
      <c r="G695" s="5"/>
    </row>
    <row r="696">
      <c r="G696" s="5"/>
    </row>
    <row r="697">
      <c r="G697" s="5"/>
    </row>
    <row r="698">
      <c r="G698" s="5"/>
    </row>
    <row r="699">
      <c r="G699" s="5"/>
    </row>
    <row r="700">
      <c r="G700" s="5"/>
    </row>
    <row r="701">
      <c r="G701" s="5"/>
    </row>
    <row r="702">
      <c r="G702" s="5"/>
    </row>
    <row r="703">
      <c r="G703" s="5"/>
    </row>
    <row r="704">
      <c r="G704" s="5"/>
    </row>
    <row r="705">
      <c r="G705" s="5"/>
    </row>
    <row r="706">
      <c r="G706" s="5"/>
    </row>
    <row r="707">
      <c r="G707" s="5"/>
    </row>
    <row r="708">
      <c r="G708" s="5"/>
    </row>
    <row r="709">
      <c r="G709" s="5"/>
    </row>
    <row r="710">
      <c r="G710" s="5"/>
    </row>
    <row r="711">
      <c r="G711" s="5"/>
    </row>
    <row r="712">
      <c r="G712" s="5"/>
    </row>
    <row r="713">
      <c r="G713" s="5"/>
    </row>
    <row r="714">
      <c r="G714" s="5"/>
    </row>
    <row r="715">
      <c r="G715" s="5"/>
    </row>
    <row r="716">
      <c r="G716" s="5"/>
    </row>
    <row r="717">
      <c r="G717" s="5"/>
    </row>
    <row r="718">
      <c r="G718" s="5"/>
    </row>
    <row r="719">
      <c r="G719" s="5"/>
    </row>
    <row r="720">
      <c r="G720" s="5"/>
    </row>
    <row r="721">
      <c r="G721" s="5"/>
    </row>
    <row r="722">
      <c r="G722" s="5"/>
    </row>
    <row r="723">
      <c r="G723" s="5"/>
    </row>
    <row r="724">
      <c r="G724" s="5"/>
    </row>
    <row r="725">
      <c r="G725" s="5"/>
    </row>
    <row r="726">
      <c r="G726" s="5"/>
    </row>
    <row r="727">
      <c r="G727" s="5"/>
    </row>
    <row r="728">
      <c r="G728" s="5"/>
    </row>
    <row r="729">
      <c r="G729" s="5"/>
    </row>
    <row r="730">
      <c r="G730" s="5"/>
    </row>
    <row r="731">
      <c r="G731" s="5"/>
    </row>
    <row r="732">
      <c r="G732" s="5"/>
    </row>
    <row r="733">
      <c r="G733" s="5"/>
    </row>
    <row r="734">
      <c r="G734" s="5"/>
    </row>
    <row r="735">
      <c r="G735" s="5"/>
    </row>
    <row r="736">
      <c r="G736" s="5"/>
    </row>
    <row r="737">
      <c r="G737" s="5"/>
    </row>
    <row r="738">
      <c r="G738" s="5"/>
    </row>
    <row r="739">
      <c r="G739" s="5"/>
    </row>
    <row r="740">
      <c r="G740" s="5"/>
    </row>
    <row r="741">
      <c r="G741" s="5"/>
    </row>
    <row r="742">
      <c r="G742" s="5"/>
    </row>
    <row r="743">
      <c r="G743" s="5"/>
    </row>
    <row r="744">
      <c r="G744" s="5"/>
    </row>
    <row r="745">
      <c r="G745" s="5"/>
    </row>
    <row r="746">
      <c r="G746" s="5"/>
    </row>
    <row r="747">
      <c r="G747" s="5"/>
    </row>
    <row r="748">
      <c r="G748" s="5"/>
    </row>
    <row r="749">
      <c r="G749" s="5"/>
    </row>
    <row r="750">
      <c r="G750" s="5"/>
    </row>
    <row r="751">
      <c r="G751" s="5"/>
    </row>
    <row r="752">
      <c r="G752" s="5"/>
    </row>
    <row r="753">
      <c r="G753" s="5"/>
    </row>
    <row r="754">
      <c r="G754" s="5"/>
    </row>
    <row r="755">
      <c r="G755" s="5"/>
    </row>
    <row r="756">
      <c r="G756" s="5"/>
    </row>
    <row r="757">
      <c r="G757" s="5"/>
    </row>
    <row r="758">
      <c r="G758" s="5"/>
    </row>
    <row r="759">
      <c r="G759" s="5"/>
    </row>
    <row r="760">
      <c r="G760" s="5"/>
    </row>
    <row r="761">
      <c r="G761" s="5"/>
    </row>
    <row r="762">
      <c r="G762" s="5"/>
    </row>
    <row r="763">
      <c r="G763" s="5"/>
    </row>
    <row r="764">
      <c r="G764" s="5"/>
    </row>
    <row r="765">
      <c r="G765" s="5"/>
    </row>
    <row r="766">
      <c r="G766" s="5"/>
    </row>
    <row r="767">
      <c r="G767" s="5"/>
    </row>
    <row r="768">
      <c r="G768" s="5"/>
    </row>
    <row r="769">
      <c r="G769" s="5"/>
    </row>
    <row r="770">
      <c r="G770" s="5"/>
    </row>
    <row r="771">
      <c r="G771" s="5"/>
    </row>
    <row r="772">
      <c r="G772" s="5"/>
    </row>
    <row r="773">
      <c r="G773" s="5"/>
    </row>
    <row r="774">
      <c r="G774" s="5"/>
    </row>
    <row r="775">
      <c r="G775" s="5"/>
    </row>
    <row r="776">
      <c r="G776" s="5"/>
    </row>
    <row r="777">
      <c r="G777" s="5"/>
    </row>
    <row r="778">
      <c r="G778" s="5"/>
    </row>
    <row r="779">
      <c r="G779" s="5"/>
    </row>
    <row r="780">
      <c r="G780" s="5"/>
    </row>
    <row r="781">
      <c r="G781" s="5"/>
    </row>
    <row r="782">
      <c r="G782" s="5"/>
    </row>
    <row r="783">
      <c r="G783" s="5"/>
    </row>
    <row r="784">
      <c r="G784" s="5"/>
    </row>
    <row r="785">
      <c r="G785" s="5"/>
    </row>
    <row r="786">
      <c r="G786" s="5"/>
    </row>
    <row r="787">
      <c r="G787" s="5"/>
    </row>
    <row r="788">
      <c r="G788" s="5"/>
    </row>
    <row r="789">
      <c r="G789" s="5"/>
    </row>
    <row r="790">
      <c r="G790" s="5"/>
    </row>
    <row r="791">
      <c r="G791" s="5"/>
    </row>
    <row r="792">
      <c r="G792" s="5"/>
    </row>
    <row r="793">
      <c r="G793" s="5"/>
    </row>
    <row r="794">
      <c r="G794" s="5"/>
    </row>
    <row r="795">
      <c r="G795" s="5"/>
    </row>
    <row r="796">
      <c r="G796" s="5"/>
    </row>
    <row r="797">
      <c r="G797" s="5"/>
    </row>
    <row r="798">
      <c r="G798" s="5"/>
    </row>
    <row r="799">
      <c r="G799" s="5"/>
    </row>
    <row r="800">
      <c r="G800" s="5"/>
    </row>
    <row r="801">
      <c r="G801" s="5"/>
    </row>
    <row r="802">
      <c r="G802" s="5"/>
    </row>
    <row r="803">
      <c r="G803" s="5"/>
    </row>
    <row r="804">
      <c r="G804" s="5"/>
    </row>
    <row r="805">
      <c r="G805" s="5"/>
    </row>
    <row r="806">
      <c r="G806" s="5"/>
    </row>
    <row r="807">
      <c r="G807" s="5"/>
    </row>
    <row r="808">
      <c r="G808" s="5"/>
    </row>
    <row r="809">
      <c r="G809" s="5"/>
    </row>
    <row r="810">
      <c r="G810" s="5"/>
    </row>
    <row r="811">
      <c r="G811" s="5"/>
    </row>
    <row r="812">
      <c r="G812" s="5"/>
    </row>
    <row r="813">
      <c r="G813" s="5"/>
    </row>
    <row r="814">
      <c r="G814" s="5"/>
    </row>
    <row r="815">
      <c r="G815" s="5"/>
    </row>
    <row r="816">
      <c r="G816" s="5"/>
    </row>
    <row r="817">
      <c r="G817" s="5"/>
    </row>
    <row r="818">
      <c r="G818" s="5"/>
    </row>
    <row r="819">
      <c r="G819" s="5"/>
    </row>
    <row r="820">
      <c r="G820" s="5"/>
    </row>
    <row r="821">
      <c r="G821" s="5"/>
    </row>
    <row r="822">
      <c r="G822" s="5"/>
    </row>
    <row r="823">
      <c r="G823" s="5"/>
    </row>
    <row r="824">
      <c r="G824" s="5"/>
    </row>
    <row r="825">
      <c r="G825" s="5"/>
    </row>
    <row r="826">
      <c r="G826" s="5"/>
    </row>
    <row r="827">
      <c r="G827" s="5"/>
    </row>
    <row r="828">
      <c r="G828" s="5"/>
    </row>
    <row r="829">
      <c r="G829" s="5"/>
    </row>
    <row r="830">
      <c r="G830" s="5"/>
    </row>
    <row r="831">
      <c r="G831" s="5"/>
    </row>
    <row r="832">
      <c r="G832" s="5"/>
    </row>
    <row r="833">
      <c r="G833" s="5"/>
    </row>
    <row r="834">
      <c r="G834" s="5"/>
    </row>
    <row r="835">
      <c r="G835" s="5"/>
    </row>
    <row r="836">
      <c r="G836" s="5"/>
    </row>
    <row r="837">
      <c r="G837" s="5"/>
    </row>
    <row r="838">
      <c r="G838" s="5"/>
    </row>
    <row r="839">
      <c r="G839" s="5"/>
    </row>
    <row r="840">
      <c r="G840" s="5"/>
    </row>
    <row r="841">
      <c r="G841" s="5"/>
    </row>
    <row r="842">
      <c r="G842" s="5"/>
    </row>
    <row r="843">
      <c r="G843" s="5"/>
    </row>
    <row r="844">
      <c r="G844" s="5"/>
    </row>
    <row r="845">
      <c r="G845" s="5"/>
    </row>
    <row r="846">
      <c r="G846" s="5"/>
    </row>
    <row r="847">
      <c r="G847" s="5"/>
    </row>
    <row r="848">
      <c r="G848" s="5"/>
    </row>
    <row r="849">
      <c r="G849" s="5"/>
    </row>
    <row r="850">
      <c r="G850" s="5"/>
    </row>
    <row r="851">
      <c r="G851" s="5"/>
    </row>
    <row r="852">
      <c r="G852" s="5"/>
    </row>
    <row r="853">
      <c r="G853" s="5"/>
    </row>
    <row r="854">
      <c r="G854" s="5"/>
    </row>
    <row r="855">
      <c r="G855" s="5"/>
    </row>
    <row r="856">
      <c r="G856" s="5"/>
    </row>
    <row r="857">
      <c r="G857" s="5"/>
    </row>
    <row r="858">
      <c r="G858" s="5"/>
    </row>
    <row r="859">
      <c r="G859" s="5"/>
    </row>
    <row r="860">
      <c r="G860" s="5"/>
    </row>
    <row r="861">
      <c r="G861" s="5"/>
    </row>
    <row r="862">
      <c r="G862" s="5"/>
    </row>
    <row r="863">
      <c r="G863" s="5"/>
    </row>
    <row r="864">
      <c r="G864" s="5"/>
    </row>
    <row r="865">
      <c r="G865" s="5"/>
    </row>
    <row r="866">
      <c r="G866" s="5"/>
    </row>
    <row r="867">
      <c r="G867" s="5"/>
    </row>
    <row r="868">
      <c r="G868" s="5"/>
    </row>
    <row r="869">
      <c r="G869" s="5"/>
    </row>
    <row r="870">
      <c r="G870" s="5"/>
    </row>
    <row r="871">
      <c r="G871" s="5"/>
    </row>
    <row r="872">
      <c r="G872" s="5"/>
    </row>
    <row r="873">
      <c r="G873" s="5"/>
    </row>
    <row r="874">
      <c r="G874" s="5"/>
    </row>
    <row r="875">
      <c r="G875" s="5"/>
    </row>
    <row r="876">
      <c r="G876" s="5"/>
    </row>
    <row r="877">
      <c r="G877" s="5"/>
    </row>
    <row r="878">
      <c r="G878" s="5"/>
    </row>
    <row r="879">
      <c r="G879" s="5"/>
    </row>
    <row r="880">
      <c r="G880" s="5"/>
    </row>
    <row r="881">
      <c r="G881" s="5"/>
    </row>
    <row r="882">
      <c r="G882" s="5"/>
    </row>
    <row r="883">
      <c r="G883" s="5"/>
    </row>
    <row r="884">
      <c r="G884" s="5"/>
    </row>
    <row r="885">
      <c r="G885" s="5"/>
    </row>
    <row r="886">
      <c r="G886" s="5"/>
    </row>
    <row r="887">
      <c r="G887" s="5"/>
    </row>
    <row r="888">
      <c r="G888" s="5"/>
    </row>
    <row r="889">
      <c r="G889" s="5"/>
    </row>
    <row r="890">
      <c r="G890" s="5"/>
    </row>
    <row r="891">
      <c r="G891" s="5"/>
    </row>
    <row r="892">
      <c r="G892" s="5"/>
    </row>
    <row r="893">
      <c r="G893" s="5"/>
    </row>
    <row r="894">
      <c r="G894" s="5"/>
    </row>
    <row r="895">
      <c r="G895" s="5"/>
    </row>
    <row r="896">
      <c r="G896" s="5"/>
    </row>
    <row r="897">
      <c r="G897" s="5"/>
    </row>
    <row r="898">
      <c r="G898" s="5"/>
    </row>
    <row r="899">
      <c r="G899" s="5"/>
    </row>
    <row r="900">
      <c r="G900" s="5"/>
    </row>
    <row r="901">
      <c r="G901" s="5"/>
    </row>
    <row r="902">
      <c r="G902" s="5"/>
    </row>
    <row r="903">
      <c r="G903" s="5"/>
    </row>
    <row r="904">
      <c r="G904" s="5"/>
    </row>
    <row r="905">
      <c r="G905" s="5"/>
    </row>
    <row r="906">
      <c r="G906" s="5"/>
    </row>
    <row r="907">
      <c r="G907" s="5"/>
    </row>
    <row r="908">
      <c r="G908" s="5"/>
    </row>
    <row r="909">
      <c r="G909" s="5"/>
    </row>
    <row r="910">
      <c r="G910" s="5"/>
    </row>
    <row r="911">
      <c r="G911" s="5"/>
    </row>
    <row r="912">
      <c r="G912" s="5"/>
    </row>
    <row r="913">
      <c r="G913" s="5"/>
    </row>
    <row r="914">
      <c r="G914" s="5"/>
    </row>
    <row r="915">
      <c r="G915" s="5"/>
    </row>
    <row r="916">
      <c r="G916" s="5"/>
    </row>
    <row r="917">
      <c r="G917" s="5"/>
    </row>
    <row r="918">
      <c r="G918" s="5"/>
    </row>
    <row r="919">
      <c r="G919" s="5"/>
    </row>
    <row r="920">
      <c r="G920" s="5"/>
    </row>
    <row r="921">
      <c r="G921" s="5"/>
    </row>
    <row r="922">
      <c r="G922" s="5"/>
    </row>
    <row r="923">
      <c r="G923" s="5"/>
    </row>
    <row r="924">
      <c r="G924" s="5"/>
    </row>
    <row r="925">
      <c r="G925" s="5"/>
    </row>
    <row r="926">
      <c r="G926" s="5"/>
    </row>
    <row r="927">
      <c r="G927" s="5"/>
    </row>
    <row r="928">
      <c r="G928" s="5"/>
    </row>
    <row r="929">
      <c r="G929" s="5"/>
    </row>
    <row r="930">
      <c r="G930" s="5"/>
    </row>
    <row r="931">
      <c r="G931" s="5"/>
    </row>
    <row r="932">
      <c r="G932" s="5"/>
    </row>
    <row r="933">
      <c r="G933" s="5"/>
    </row>
    <row r="934">
      <c r="G934" s="5"/>
    </row>
    <row r="935">
      <c r="G935" s="5"/>
    </row>
    <row r="936">
      <c r="G936" s="5"/>
    </row>
    <row r="937">
      <c r="G937" s="5"/>
    </row>
    <row r="938">
      <c r="G938" s="5"/>
    </row>
    <row r="939">
      <c r="G939" s="5"/>
    </row>
    <row r="940">
      <c r="G940" s="5"/>
    </row>
    <row r="941">
      <c r="G941" s="5"/>
    </row>
    <row r="942">
      <c r="G942" s="5"/>
    </row>
    <row r="943">
      <c r="G943" s="5"/>
    </row>
    <row r="944">
      <c r="G944" s="5"/>
    </row>
    <row r="945">
      <c r="G945" s="5"/>
    </row>
    <row r="946">
      <c r="G946" s="5"/>
    </row>
    <row r="947">
      <c r="G947" s="5"/>
    </row>
    <row r="948">
      <c r="G948" s="5"/>
    </row>
    <row r="949">
      <c r="G949" s="5"/>
    </row>
    <row r="950">
      <c r="G950" s="5"/>
    </row>
    <row r="951">
      <c r="G951" s="5"/>
    </row>
    <row r="952">
      <c r="G952" s="5"/>
    </row>
    <row r="953">
      <c r="G953" s="5"/>
    </row>
    <row r="954">
      <c r="G954" s="5"/>
    </row>
    <row r="955">
      <c r="G955" s="5"/>
    </row>
    <row r="956">
      <c r="G956" s="5"/>
    </row>
    <row r="957">
      <c r="G957" s="5"/>
    </row>
    <row r="958">
      <c r="G958" s="5"/>
    </row>
    <row r="959">
      <c r="G959" s="5"/>
    </row>
    <row r="960">
      <c r="G960" s="5"/>
    </row>
    <row r="961">
      <c r="G961" s="5"/>
    </row>
    <row r="962">
      <c r="G962" s="5"/>
    </row>
    <row r="963">
      <c r="G963" s="5"/>
    </row>
    <row r="964">
      <c r="G964" s="5"/>
    </row>
    <row r="965">
      <c r="G965" s="5"/>
    </row>
    <row r="966">
      <c r="G966" s="5"/>
    </row>
    <row r="967">
      <c r="G967" s="5"/>
    </row>
    <row r="968">
      <c r="G968" s="5"/>
    </row>
    <row r="969">
      <c r="G969" s="5"/>
    </row>
    <row r="970">
      <c r="G970" s="5"/>
    </row>
    <row r="971">
      <c r="G971" s="5"/>
    </row>
    <row r="972">
      <c r="G972" s="5"/>
    </row>
    <row r="973">
      <c r="G973" s="5"/>
    </row>
    <row r="974">
      <c r="G974" s="5"/>
    </row>
    <row r="975">
      <c r="G975" s="5"/>
    </row>
    <row r="976">
      <c r="G976" s="5"/>
    </row>
    <row r="977">
      <c r="G977" s="5"/>
    </row>
    <row r="978">
      <c r="G978" s="5"/>
    </row>
    <row r="979">
      <c r="G979" s="5"/>
    </row>
    <row r="980">
      <c r="G980" s="5"/>
    </row>
    <row r="981">
      <c r="G981" s="5"/>
    </row>
    <row r="982">
      <c r="G982" s="5"/>
    </row>
    <row r="983">
      <c r="G983" s="5"/>
    </row>
    <row r="984">
      <c r="G984" s="5"/>
    </row>
    <row r="985">
      <c r="G985" s="5"/>
    </row>
    <row r="986">
      <c r="G986" s="5"/>
    </row>
    <row r="987">
      <c r="G987" s="5"/>
    </row>
    <row r="988">
      <c r="G988" s="5"/>
    </row>
    <row r="989">
      <c r="G989" s="5"/>
    </row>
    <row r="990">
      <c r="G990" s="5"/>
    </row>
    <row r="991">
      <c r="G991" s="5"/>
    </row>
    <row r="992">
      <c r="G992" s="5"/>
    </row>
    <row r="993">
      <c r="G993" s="5"/>
    </row>
    <row r="994">
      <c r="G994" s="5"/>
    </row>
    <row r="995">
      <c r="G995" s="5"/>
    </row>
    <row r="996">
      <c r="G996" s="5"/>
    </row>
    <row r="997">
      <c r="G997" s="5"/>
    </row>
    <row r="998">
      <c r="G998" s="5"/>
    </row>
    <row r="999">
      <c r="G999" s="5"/>
    </row>
    <row r="1000">
      <c r="G1000" s="5"/>
    </row>
    <row r="1001">
      <c r="G1001" s="5"/>
    </row>
  </sheetData>
  <conditionalFormatting sqref="J3:J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:J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5:K30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custom" allowBlank="1" showDropDown="1" sqref="D2:E30 G2:J3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2" max="2" width="5.88"/>
    <col customWidth="1" min="3" max="3" width="9.25"/>
    <col customWidth="1" min="4" max="4" width="7.63"/>
    <col customWidth="1" min="5" max="5" width="6.75"/>
    <col customWidth="1" min="6" max="6" width="8.75"/>
    <col customWidth="1" min="7" max="7" width="5.13"/>
    <col customWidth="1" min="8" max="8" width="6.13"/>
    <col customWidth="1" min="9" max="9" width="9.13"/>
    <col customWidth="1" min="10" max="10" width="4.25"/>
    <col hidden="1" min="11" max="11" width="12.63"/>
    <col customWidth="1" min="12" max="12" width="8.0"/>
    <col hidden="1" min="13" max="14" width="12.63"/>
    <col customWidth="1" min="15" max="15" width="10.0"/>
    <col customWidth="1" min="16" max="16" width="5.88"/>
    <col customWidth="1" min="17" max="17" width="5.13"/>
    <col customWidth="1" min="18" max="18" width="6.75"/>
    <col customWidth="1" min="19" max="19" width="8.13"/>
    <col customWidth="1" min="21" max="21" width="5.63"/>
    <col customWidth="1" min="22" max="24" width="8.5"/>
    <col customWidth="1" min="35" max="35" width="6.63"/>
  </cols>
  <sheetData>
    <row r="1" collapsed="1">
      <c r="A1" s="27" t="s">
        <v>102</v>
      </c>
      <c r="B1" s="28" t="s">
        <v>103</v>
      </c>
      <c r="C1" s="29" t="s">
        <v>104</v>
      </c>
      <c r="D1" s="30" t="s">
        <v>105</v>
      </c>
      <c r="E1" s="31" t="s">
        <v>106</v>
      </c>
      <c r="F1" s="29" t="s">
        <v>107</v>
      </c>
      <c r="G1" s="29" t="s">
        <v>108</v>
      </c>
      <c r="H1" s="32" t="s">
        <v>109</v>
      </c>
      <c r="I1" s="29" t="s">
        <v>110</v>
      </c>
      <c r="J1" s="29" t="s">
        <v>111</v>
      </c>
      <c r="K1" s="29" t="s">
        <v>112</v>
      </c>
      <c r="L1" s="29" t="s">
        <v>113</v>
      </c>
      <c r="M1" s="29" t="s">
        <v>114</v>
      </c>
      <c r="N1" s="29" t="s">
        <v>115</v>
      </c>
      <c r="O1" s="29" t="s">
        <v>116</v>
      </c>
      <c r="P1" s="33" t="s">
        <v>117</v>
      </c>
      <c r="Q1" s="33"/>
      <c r="R1" s="34" t="s">
        <v>118</v>
      </c>
      <c r="S1" s="34" t="s">
        <v>119</v>
      </c>
      <c r="T1" s="27"/>
      <c r="U1" s="30" t="s">
        <v>120</v>
      </c>
      <c r="V1" s="27" t="s">
        <v>121</v>
      </c>
      <c r="W1" s="35" t="s">
        <v>122</v>
      </c>
      <c r="X1" s="35" t="s">
        <v>123</v>
      </c>
      <c r="Y1" s="27" t="s">
        <v>124</v>
      </c>
      <c r="Z1" s="27" t="s">
        <v>125</v>
      </c>
      <c r="AA1" s="27" t="s">
        <v>126</v>
      </c>
      <c r="AB1" s="27" t="s">
        <v>127</v>
      </c>
      <c r="AC1" s="27" t="s">
        <v>128</v>
      </c>
      <c r="AD1" s="27" t="s">
        <v>129</v>
      </c>
      <c r="AE1" s="27" t="s">
        <v>130</v>
      </c>
      <c r="AF1" s="27" t="s">
        <v>131</v>
      </c>
      <c r="AG1" s="27" t="s">
        <v>132</v>
      </c>
      <c r="AH1" s="27" t="s">
        <v>133</v>
      </c>
      <c r="AI1" s="29" t="s">
        <v>134</v>
      </c>
      <c r="AJ1" s="36"/>
    </row>
    <row r="2" hidden="1" outlineLevel="1">
      <c r="A2" s="37" t="s">
        <v>135</v>
      </c>
      <c r="B2" s="38">
        <v>1.0</v>
      </c>
      <c r="C2" s="39">
        <v>1.1574074074074075E-4</v>
      </c>
      <c r="D2" s="40">
        <f t="array" ref="D2">IFERROR(INDIRECT("'renta'!G$"&amp;MATCH(T2,renta!$A:$A,0))*0.975-(G2*INDIRECT("'renta'!G$"&amp;MATCH(F2,renta!$A:$A,0)))/B2-IFERROR((J2*INDIRECT("'renta'!G$"&amp;MATCH(I2,renta!$A:$A,0)))/B2,0),)</f>
        <v>-0.0004282496932</v>
      </c>
      <c r="E2" s="41">
        <f t="shared" ref="E2:E441" si="1">IFERROR( D2/C2/24*B2*2*(1+AI2),0)</f>
        <v>-0.3083397791</v>
      </c>
      <c r="F2" s="42" t="s">
        <v>12</v>
      </c>
      <c r="G2" s="43">
        <f t="shared" ref="G2:G375" si="2">H2*0.95</f>
        <v>2.85</v>
      </c>
      <c r="H2" s="44" t="s">
        <v>136</v>
      </c>
      <c r="I2" s="45"/>
      <c r="J2" s="45"/>
      <c r="K2" s="45"/>
      <c r="L2" s="38" t="s">
        <v>137</v>
      </c>
      <c r="M2" s="46">
        <v>0.0</v>
      </c>
      <c r="N2" s="46">
        <v>1.0</v>
      </c>
      <c r="O2" s="42" t="s">
        <v>12</v>
      </c>
      <c r="P2" s="46">
        <v>1.0</v>
      </c>
      <c r="Q2" s="46"/>
      <c r="R2" s="47">
        <f t="array" ref="R2">INDIRECT("'renta'!G$"&amp;MATCH(O2,renta!$A:$A,0))*P2</f>
        <v>0.0041</v>
      </c>
      <c r="S2" s="48">
        <f t="shared" ref="S2:S51" si="3">SUM(R$2:R2)</f>
        <v>0.0041</v>
      </c>
      <c r="T2" s="49" t="str">
        <f t="shared" ref="T2:T263" si="4">IFERROR(LEFT(A2, FIND("_", A2) - 1),"")</f>
        <v>MUD</v>
      </c>
      <c r="U2" s="50" t="str">
        <f t="shared" ref="U2:U521" si="5">(E2-E1)/R2*1000</f>
        <v>#VALUE!</v>
      </c>
      <c r="V2" s="51"/>
      <c r="W2" s="52" t="str">
        <f t="shared" ref="W2:W521" si="6">IFERROR(D2/V2*B2,)</f>
        <v/>
      </c>
      <c r="X2" s="52"/>
      <c r="Y2" s="51" t="s">
        <v>138</v>
      </c>
      <c r="Z2" s="42" t="s">
        <v>138</v>
      </c>
      <c r="AA2" s="53">
        <v>0.0</v>
      </c>
      <c r="AB2" s="51" t="s">
        <v>139</v>
      </c>
      <c r="AC2" s="54" t="s">
        <v>140</v>
      </c>
      <c r="AD2" s="55"/>
      <c r="AE2" s="56"/>
      <c r="AF2" s="40" t="s">
        <v>141</v>
      </c>
      <c r="AG2" s="40" t="s">
        <v>142</v>
      </c>
      <c r="AH2" s="57"/>
      <c r="AI2" s="39"/>
    </row>
    <row r="3" hidden="1" outlineLevel="1">
      <c r="A3" s="58" t="s">
        <v>143</v>
      </c>
      <c r="B3" s="59">
        <v>2.0</v>
      </c>
      <c r="C3" s="60">
        <v>1.1574074074074075E-4</v>
      </c>
      <c r="D3" s="61">
        <f t="array" ref="D3">IFERROR(INDIRECT("'renta'!G$"&amp;MATCH(T3,renta!$A:$A,0))*0.975-(G3*INDIRECT("'renta'!G$"&amp;MATCH(F3,renta!$A:$A,0)))/B3-IFERROR((J3*INDIRECT("'renta'!G$"&amp;MATCH(I3,renta!$A:$A,0)))/B3,0),)</f>
        <v>-0.0004282496932</v>
      </c>
      <c r="E3" s="41">
        <f t="shared" si="1"/>
        <v>-0.6166795583</v>
      </c>
      <c r="F3" s="61" t="s">
        <v>12</v>
      </c>
      <c r="G3" s="62">
        <f t="shared" si="2"/>
        <v>5.7</v>
      </c>
      <c r="H3" s="63" t="s">
        <v>144</v>
      </c>
      <c r="I3" s="64"/>
      <c r="J3" s="64"/>
      <c r="K3" s="64"/>
      <c r="L3" s="59" t="s">
        <v>137</v>
      </c>
      <c r="M3" s="65">
        <v>0.0</v>
      </c>
      <c r="N3" s="65">
        <v>1.0</v>
      </c>
      <c r="O3" s="66" t="s">
        <v>18</v>
      </c>
      <c r="P3" s="65">
        <v>3.0</v>
      </c>
      <c r="Q3" s="65"/>
      <c r="R3" s="67">
        <f t="array" ref="R3">INDIRECT("'renta'!G$"&amp;MATCH(O3,renta!$A:$A,0))*P3</f>
        <v>0.03463615479</v>
      </c>
      <c r="S3" s="68">
        <f t="shared" si="3"/>
        <v>0.03873615479</v>
      </c>
      <c r="T3" s="69" t="str">
        <f t="shared" si="4"/>
        <v>MUD</v>
      </c>
      <c r="U3" s="70">
        <f t="shared" si="5"/>
        <v>-8902.252026</v>
      </c>
      <c r="V3" s="71"/>
      <c r="W3" s="72" t="str">
        <f t="shared" si="6"/>
        <v/>
      </c>
      <c r="X3" s="72"/>
      <c r="Y3" s="71">
        <v>1.0</v>
      </c>
      <c r="Z3" s="60">
        <v>0.0</v>
      </c>
      <c r="AA3" s="73">
        <v>1.0</v>
      </c>
      <c r="AB3" s="74" t="s">
        <v>145</v>
      </c>
      <c r="AC3" s="75" t="s">
        <v>146</v>
      </c>
      <c r="AD3" s="70"/>
      <c r="AE3" s="76"/>
      <c r="AF3" s="61" t="s">
        <v>147</v>
      </c>
      <c r="AG3" s="61" t="s">
        <v>148</v>
      </c>
      <c r="AH3" s="77"/>
      <c r="AI3" s="60"/>
    </row>
    <row r="4" hidden="1" outlineLevel="1">
      <c r="A4" s="78" t="s">
        <v>149</v>
      </c>
      <c r="B4" s="38">
        <v>4.0</v>
      </c>
      <c r="C4" s="39">
        <v>1.6203703703703703E-4</v>
      </c>
      <c r="D4" s="40">
        <f t="array" ref="D4">IFERROR(INDIRECT("'renta'!G$"&amp;MATCH(T4,renta!$A:$A,0))*0.975-(G4*INDIRECT("'renta'!G$"&amp;MATCH(F4,renta!$A:$A,0)))/B4-IFERROR((J4*INDIRECT("'renta'!G$"&amp;MATCH(I4,renta!$A:$A,0)))/B4,0),)</f>
        <v>-0.0004282496932</v>
      </c>
      <c r="E4" s="41">
        <f t="shared" si="1"/>
        <v>-0.8809707975</v>
      </c>
      <c r="F4" s="40" t="s">
        <v>12</v>
      </c>
      <c r="G4" s="43">
        <f t="shared" si="2"/>
        <v>11.4</v>
      </c>
      <c r="H4" s="44" t="s">
        <v>150</v>
      </c>
      <c r="I4" s="79"/>
      <c r="J4" s="79"/>
      <c r="K4" s="79"/>
      <c r="L4" s="38" t="s">
        <v>137</v>
      </c>
      <c r="M4" s="46">
        <v>0.0</v>
      </c>
      <c r="N4" s="46">
        <v>1.0</v>
      </c>
      <c r="O4" s="42" t="s">
        <v>18</v>
      </c>
      <c r="P4" s="46">
        <v>6.0</v>
      </c>
      <c r="Q4" s="46"/>
      <c r="R4" s="47">
        <f t="array" ref="R4">INDIRECT("'renta'!G$"&amp;MATCH(O4,renta!$A:$A,0))*P4</f>
        <v>0.06927230958</v>
      </c>
      <c r="S4" s="48">
        <f t="shared" si="3"/>
        <v>0.1080084644</v>
      </c>
      <c r="T4" s="49" t="str">
        <f t="shared" si="4"/>
        <v>MUD</v>
      </c>
      <c r="U4" s="50">
        <f t="shared" si="5"/>
        <v>-3815.250868</v>
      </c>
      <c r="V4" s="80"/>
      <c r="W4" s="52" t="str">
        <f t="shared" si="6"/>
        <v/>
      </c>
      <c r="X4" s="52"/>
      <c r="Y4" s="80">
        <v>2.0</v>
      </c>
      <c r="Z4" s="39">
        <v>4.6296296296296294E-5</v>
      </c>
      <c r="AA4" s="81" t="s">
        <v>151</v>
      </c>
      <c r="AB4" s="82" t="s">
        <v>152</v>
      </c>
      <c r="AC4" s="54" t="s">
        <v>153</v>
      </c>
      <c r="AD4" s="50"/>
      <c r="AE4" s="83"/>
      <c r="AF4" s="40" t="s">
        <v>154</v>
      </c>
      <c r="AG4" s="40" t="s">
        <v>155</v>
      </c>
      <c r="AH4" s="84"/>
      <c r="AI4" s="39"/>
    </row>
    <row r="5" hidden="1" outlineLevel="1">
      <c r="A5" s="58" t="s">
        <v>156</v>
      </c>
      <c r="B5" s="59">
        <v>14.0</v>
      </c>
      <c r="C5" s="60">
        <v>4.2824074074074075E-4</v>
      </c>
      <c r="D5" s="61">
        <f t="array" ref="D5">IFERROR(INDIRECT("'renta'!G$"&amp;MATCH(T5,renta!$A:$A,0))*0.975-(G5*INDIRECT("'renta'!G$"&amp;MATCH(F5,renta!$A:$A,0)))/B5-IFERROR((J5*INDIRECT("'renta'!G$"&amp;MATCH(I5,renta!$A:$A,0)))/B5,0),)</f>
        <v>-0.0004282496933</v>
      </c>
      <c r="E5" s="41">
        <f t="shared" si="1"/>
        <v>-1.166691056</v>
      </c>
      <c r="F5" s="61" t="s">
        <v>12</v>
      </c>
      <c r="G5" s="62">
        <f t="shared" si="2"/>
        <v>39.9</v>
      </c>
      <c r="H5" s="63" t="s">
        <v>157</v>
      </c>
      <c r="I5" s="64"/>
      <c r="J5" s="64"/>
      <c r="K5" s="64"/>
      <c r="L5" s="59" t="s">
        <v>137</v>
      </c>
      <c r="M5" s="65">
        <v>2.0</v>
      </c>
      <c r="N5" s="65">
        <v>1.0</v>
      </c>
      <c r="O5" s="66" t="s">
        <v>21</v>
      </c>
      <c r="P5" s="65">
        <v>2.0</v>
      </c>
      <c r="Q5" s="65"/>
      <c r="R5" s="67">
        <f t="array" ref="R5">INDIRECT("'renta'!G$"&amp;MATCH(O5,renta!$A:$A,0))*P5</f>
        <v>0.24</v>
      </c>
      <c r="S5" s="68">
        <f t="shared" si="3"/>
        <v>0.3480084644</v>
      </c>
      <c r="T5" s="69" t="str">
        <f t="shared" si="4"/>
        <v>MUD</v>
      </c>
      <c r="U5" s="70">
        <f t="shared" si="5"/>
        <v>-1190.501078</v>
      </c>
      <c r="V5" s="71"/>
      <c r="W5" s="72" t="str">
        <f t="shared" si="6"/>
        <v/>
      </c>
      <c r="X5" s="72"/>
      <c r="Y5" s="71">
        <v>10.0</v>
      </c>
      <c r="Z5" s="60">
        <v>2.662037037037037E-4</v>
      </c>
      <c r="AA5" s="85" t="s">
        <v>158</v>
      </c>
      <c r="AB5" s="74" t="s">
        <v>159</v>
      </c>
      <c r="AC5" s="75" t="s">
        <v>160</v>
      </c>
      <c r="AD5" s="70"/>
      <c r="AE5" s="76"/>
      <c r="AF5" s="61" t="s">
        <v>161</v>
      </c>
      <c r="AG5" s="61" t="s">
        <v>162</v>
      </c>
      <c r="AH5" s="86">
        <v>7.0</v>
      </c>
      <c r="AI5" s="60"/>
    </row>
    <row r="6" hidden="1" outlineLevel="1">
      <c r="A6" s="78" t="s">
        <v>163</v>
      </c>
      <c r="B6" s="38">
        <v>28.0</v>
      </c>
      <c r="C6" s="39">
        <v>6.944444444444445E-4</v>
      </c>
      <c r="D6" s="40">
        <f t="array" ref="D6">IFERROR(INDIRECT("'renta'!G$"&amp;MATCH(T6,renta!$A:$A,0))*0.975-(G6*INDIRECT("'renta'!G$"&amp;MATCH(F6,renta!$A:$A,0)))/B6-IFERROR((J6*INDIRECT("'renta'!G$"&amp;MATCH(I6,renta!$A:$A,0)))/B6,0),)</f>
        <v>-0.0004282496933</v>
      </c>
      <c r="E6" s="41">
        <f t="shared" si="1"/>
        <v>-1.438918969</v>
      </c>
      <c r="F6" s="40" t="s">
        <v>12</v>
      </c>
      <c r="G6" s="43">
        <f t="shared" si="2"/>
        <v>79.8</v>
      </c>
      <c r="H6" s="44" t="s">
        <v>164</v>
      </c>
      <c r="I6" s="79"/>
      <c r="J6" s="79"/>
      <c r="K6" s="79"/>
      <c r="L6" s="38" t="s">
        <v>137</v>
      </c>
      <c r="M6" s="46">
        <v>4.0</v>
      </c>
      <c r="N6" s="46">
        <v>1.0</v>
      </c>
      <c r="O6" s="42" t="s">
        <v>24</v>
      </c>
      <c r="P6" s="46">
        <v>2.0</v>
      </c>
      <c r="Q6" s="46"/>
      <c r="R6" s="47">
        <f t="array" ref="R6">INDIRECT("'renta'!G$"&amp;MATCH(O6,renta!$A:$A,0))*P6</f>
        <v>0.6235385894</v>
      </c>
      <c r="S6" s="48">
        <f t="shared" si="3"/>
        <v>0.9715470538</v>
      </c>
      <c r="T6" s="49" t="str">
        <f t="shared" si="4"/>
        <v>MUD</v>
      </c>
      <c r="U6" s="50">
        <f t="shared" si="5"/>
        <v>-436.5855101</v>
      </c>
      <c r="V6" s="80"/>
      <c r="W6" s="52" t="str">
        <f t="shared" si="6"/>
        <v/>
      </c>
      <c r="X6" s="52"/>
      <c r="Y6" s="80">
        <v>14.0</v>
      </c>
      <c r="Z6" s="39">
        <v>2.662037037037037E-4</v>
      </c>
      <c r="AA6" s="81" t="s">
        <v>165</v>
      </c>
      <c r="AB6" s="82" t="s">
        <v>166</v>
      </c>
      <c r="AC6" s="54" t="s">
        <v>167</v>
      </c>
      <c r="AD6" s="50"/>
      <c r="AE6" s="83"/>
      <c r="AF6" s="40" t="s">
        <v>161</v>
      </c>
      <c r="AG6" s="40" t="s">
        <v>168</v>
      </c>
      <c r="AH6" s="87">
        <v>7.0</v>
      </c>
      <c r="AI6" s="39"/>
    </row>
    <row r="7" hidden="1" outlineLevel="1">
      <c r="A7" s="58" t="s">
        <v>169</v>
      </c>
      <c r="B7" s="59">
        <v>65.0</v>
      </c>
      <c r="C7" s="60">
        <v>0.001388888888888889</v>
      </c>
      <c r="D7" s="61">
        <f t="array" ref="D7">IFERROR(INDIRECT("'renta'!G$"&amp;MATCH(T7,renta!$A:$A,0))*0.975-(G7*INDIRECT("'renta'!G$"&amp;MATCH(F7,renta!$A:$A,0)))/B7-IFERROR((J7*INDIRECT("'renta'!G$"&amp;MATCH(I7,renta!$A:$A,0)))/B7,0),)</f>
        <v>-0.0004282496933</v>
      </c>
      <c r="E7" s="41">
        <f t="shared" si="1"/>
        <v>-1.670173804</v>
      </c>
      <c r="F7" s="61" t="s">
        <v>12</v>
      </c>
      <c r="G7" s="62">
        <f t="shared" si="2"/>
        <v>185.25</v>
      </c>
      <c r="H7" s="63" t="s">
        <v>170</v>
      </c>
      <c r="I7" s="64"/>
      <c r="J7" s="64"/>
      <c r="K7" s="64"/>
      <c r="L7" s="59" t="s">
        <v>137</v>
      </c>
      <c r="M7" s="65">
        <v>10.0</v>
      </c>
      <c r="N7" s="65">
        <v>1.0</v>
      </c>
      <c r="O7" s="66" t="s">
        <v>24</v>
      </c>
      <c r="P7" s="65">
        <v>4.0</v>
      </c>
      <c r="Q7" s="65"/>
      <c r="R7" s="67">
        <f t="array" ref="R7">INDIRECT("'renta'!G$"&amp;MATCH(O7,renta!$A:$A,0))*P7</f>
        <v>1.247077179</v>
      </c>
      <c r="S7" s="68">
        <f t="shared" si="3"/>
        <v>2.218624233</v>
      </c>
      <c r="T7" s="69" t="str">
        <f t="shared" si="4"/>
        <v>MUD</v>
      </c>
      <c r="U7" s="70">
        <f t="shared" si="5"/>
        <v>-185.4374679</v>
      </c>
      <c r="V7" s="71"/>
      <c r="W7" s="72" t="str">
        <f t="shared" si="6"/>
        <v/>
      </c>
      <c r="X7" s="72"/>
      <c r="Y7" s="71">
        <v>37.0</v>
      </c>
      <c r="Z7" s="60">
        <v>6.944444444444445E-4</v>
      </c>
      <c r="AA7" s="85" t="s">
        <v>171</v>
      </c>
      <c r="AB7" s="74" t="s">
        <v>172</v>
      </c>
      <c r="AC7" s="75" t="s">
        <v>173</v>
      </c>
      <c r="AD7" s="70"/>
      <c r="AE7" s="76"/>
      <c r="AF7" s="61" t="s">
        <v>174</v>
      </c>
      <c r="AG7" s="61" t="s">
        <v>175</v>
      </c>
      <c r="AH7" s="86">
        <v>7.0</v>
      </c>
      <c r="AI7" s="60"/>
    </row>
    <row r="8" hidden="1" outlineLevel="1">
      <c r="A8" s="78" t="s">
        <v>176</v>
      </c>
      <c r="B8" s="38">
        <v>185.0</v>
      </c>
      <c r="C8" s="39">
        <v>0.003472222222222222</v>
      </c>
      <c r="D8" s="40">
        <f t="array" ref="D8">IFERROR(INDIRECT("'renta'!G$"&amp;MATCH(T8,renta!$A:$A,0))*0.975-(G8*INDIRECT("'renta'!G$"&amp;MATCH(F8,renta!$A:$A,0)))/B8-IFERROR((J8*INDIRECT("'renta'!G$"&amp;MATCH(I8,renta!$A:$A,0)))/B8,0),)</f>
        <v>-0.0004282496933</v>
      </c>
      <c r="E8" s="41">
        <f t="shared" si="1"/>
        <v>-1.901428638</v>
      </c>
      <c r="F8" s="40" t="s">
        <v>12</v>
      </c>
      <c r="G8" s="43">
        <f t="shared" si="2"/>
        <v>527.25</v>
      </c>
      <c r="H8" s="44" t="s">
        <v>177</v>
      </c>
      <c r="I8" s="79"/>
      <c r="J8" s="79"/>
      <c r="K8" s="79"/>
      <c r="L8" s="38" t="s">
        <v>137</v>
      </c>
      <c r="M8" s="46">
        <v>27.0</v>
      </c>
      <c r="N8" s="46">
        <v>1.0</v>
      </c>
      <c r="O8" s="42" t="s">
        <v>24</v>
      </c>
      <c r="P8" s="46">
        <v>6.0</v>
      </c>
      <c r="Q8" s="46"/>
      <c r="R8" s="47">
        <f t="array" ref="R8">INDIRECT("'renta'!G$"&amp;MATCH(O8,renta!$A:$A,0))*P8</f>
        <v>1.870615768</v>
      </c>
      <c r="S8" s="48">
        <f t="shared" si="3"/>
        <v>4.089240001</v>
      </c>
      <c r="T8" s="49" t="str">
        <f t="shared" si="4"/>
        <v>MUD</v>
      </c>
      <c r="U8" s="50">
        <f t="shared" si="5"/>
        <v>-123.6249786</v>
      </c>
      <c r="V8" s="80"/>
      <c r="W8" s="52" t="str">
        <f t="shared" si="6"/>
        <v/>
      </c>
      <c r="X8" s="52"/>
      <c r="Y8" s="80">
        <v>120.0</v>
      </c>
      <c r="Z8" s="39">
        <v>0.0020833333333333333</v>
      </c>
      <c r="AA8" s="81" t="s">
        <v>178</v>
      </c>
      <c r="AB8" s="82" t="s">
        <v>179</v>
      </c>
      <c r="AC8" s="54" t="s">
        <v>173</v>
      </c>
      <c r="AD8" s="50"/>
      <c r="AE8" s="83"/>
      <c r="AF8" s="40" t="s">
        <v>180</v>
      </c>
      <c r="AG8" s="40" t="s">
        <v>181</v>
      </c>
      <c r="AH8" s="87">
        <v>7.0</v>
      </c>
      <c r="AI8" s="39"/>
    </row>
    <row r="9" hidden="1" outlineLevel="1">
      <c r="A9" s="58" t="s">
        <v>182</v>
      </c>
      <c r="B9" s="59">
        <v>412.0</v>
      </c>
      <c r="C9" s="60">
        <v>0.006944444444444444</v>
      </c>
      <c r="D9" s="61">
        <f t="array" ref="D9">IFERROR(INDIRECT("'renta'!G$"&amp;MATCH(T9,renta!$A:$A,0))*0.975-(G9*INDIRECT("'renta'!G$"&amp;MATCH(F9,renta!$A:$A,0)))/B9-IFERROR((J9*INDIRECT("'renta'!G$"&amp;MATCH(I9,renta!$A:$A,0)))/B9,0),)</f>
        <v>-0.0004282496933</v>
      </c>
      <c r="E9" s="41">
        <f t="shared" si="1"/>
        <v>-2.117266483</v>
      </c>
      <c r="F9" s="61" t="s">
        <v>12</v>
      </c>
      <c r="G9" s="62">
        <f t="shared" si="2"/>
        <v>1174.2</v>
      </c>
      <c r="H9" s="63" t="s">
        <v>183</v>
      </c>
      <c r="I9" s="64"/>
      <c r="J9" s="64"/>
      <c r="K9" s="64"/>
      <c r="L9" s="59" t="s">
        <v>137</v>
      </c>
      <c r="M9" s="65">
        <v>59.0</v>
      </c>
      <c r="N9" s="65">
        <v>1.0</v>
      </c>
      <c r="O9" s="66" t="s">
        <v>24</v>
      </c>
      <c r="P9" s="65">
        <v>20.0</v>
      </c>
      <c r="Q9" s="65"/>
      <c r="R9" s="67">
        <f t="array" ref="R9">INDIRECT("'renta'!G$"&amp;MATCH(O9,renta!$A:$A,0))*P9</f>
        <v>6.235385894</v>
      </c>
      <c r="S9" s="68">
        <f t="shared" si="3"/>
        <v>10.32462589</v>
      </c>
      <c r="T9" s="69" t="str">
        <f t="shared" si="4"/>
        <v>MUD</v>
      </c>
      <c r="U9" s="70">
        <f t="shared" si="5"/>
        <v>-34.61499401</v>
      </c>
      <c r="V9" s="71"/>
      <c r="W9" s="72" t="str">
        <f t="shared" si="6"/>
        <v/>
      </c>
      <c r="X9" s="72"/>
      <c r="Y9" s="71">
        <v>227.0</v>
      </c>
      <c r="Z9" s="60">
        <v>0.003472222222222222</v>
      </c>
      <c r="AA9" s="85" t="s">
        <v>184</v>
      </c>
      <c r="AB9" s="74" t="s">
        <v>185</v>
      </c>
      <c r="AC9" s="75" t="s">
        <v>186</v>
      </c>
      <c r="AD9" s="70"/>
      <c r="AE9" s="76"/>
      <c r="AF9" s="61" t="s">
        <v>187</v>
      </c>
      <c r="AG9" s="61" t="s">
        <v>188</v>
      </c>
      <c r="AH9" s="86">
        <v>7.0</v>
      </c>
      <c r="AI9" s="60"/>
    </row>
    <row r="10" hidden="1" outlineLevel="1">
      <c r="A10" s="78" t="s">
        <v>189</v>
      </c>
      <c r="B10" s="38">
        <v>903.0</v>
      </c>
      <c r="C10" s="39">
        <v>0.013888888888888888</v>
      </c>
      <c r="D10" s="40">
        <f t="array" ref="D10">IFERROR(INDIRECT("'renta'!G$"&amp;MATCH(T10,renta!$A:$A,0))*0.975-(G10*INDIRECT("'renta'!G$"&amp;MATCH(F10,renta!$A:$A,0)))/B10-IFERROR((J10*INDIRECT("'renta'!G$"&amp;MATCH(I10,renta!$A:$A,0)))/B10,0),)</f>
        <v>-0.0004282496933</v>
      </c>
      <c r="E10" s="41">
        <f t="shared" si="1"/>
        <v>-2.320256838</v>
      </c>
      <c r="F10" s="40" t="s">
        <v>12</v>
      </c>
      <c r="G10" s="43">
        <f t="shared" si="2"/>
        <v>2573.55</v>
      </c>
      <c r="H10" s="44" t="s">
        <v>190</v>
      </c>
      <c r="I10" s="79"/>
      <c r="J10" s="79"/>
      <c r="K10" s="79"/>
      <c r="L10" s="38" t="s">
        <v>137</v>
      </c>
      <c r="M10" s="46">
        <v>129.0</v>
      </c>
      <c r="N10" s="46">
        <v>1.0</v>
      </c>
      <c r="O10" s="42" t="s">
        <v>24</v>
      </c>
      <c r="P10" s="46">
        <v>35.0</v>
      </c>
      <c r="Q10" s="46"/>
      <c r="R10" s="47">
        <f t="array" ref="R10">INDIRECT("'renta'!G$"&amp;MATCH(O10,renta!$A:$A,0))*P10</f>
        <v>10.91192531</v>
      </c>
      <c r="S10" s="48">
        <f t="shared" si="3"/>
        <v>21.23655121</v>
      </c>
      <c r="T10" s="49" t="str">
        <f t="shared" si="4"/>
        <v>MUD</v>
      </c>
      <c r="U10" s="50">
        <f t="shared" si="5"/>
        <v>-18.60261583</v>
      </c>
      <c r="V10" s="80"/>
      <c r="W10" s="52" t="str">
        <f t="shared" si="6"/>
        <v/>
      </c>
      <c r="X10" s="52"/>
      <c r="Y10" s="80">
        <v>491.0</v>
      </c>
      <c r="Z10" s="39">
        <v>0.0069328703703703705</v>
      </c>
      <c r="AA10" s="81" t="s">
        <v>191</v>
      </c>
      <c r="AB10" s="82" t="s">
        <v>192</v>
      </c>
      <c r="AC10" s="54" t="s">
        <v>186</v>
      </c>
      <c r="AD10" s="50"/>
      <c r="AE10" s="83"/>
      <c r="AF10" s="40" t="s">
        <v>161</v>
      </c>
      <c r="AG10" s="40" t="s">
        <v>193</v>
      </c>
      <c r="AH10" s="87">
        <v>7.0</v>
      </c>
      <c r="AI10" s="39"/>
    </row>
    <row r="11" hidden="1" outlineLevel="1">
      <c r="A11" s="58" t="s">
        <v>194</v>
      </c>
      <c r="B11" s="59">
        <v>1470.0</v>
      </c>
      <c r="C11" s="60">
        <v>0.020833333333333332</v>
      </c>
      <c r="D11" s="61">
        <f t="array" ref="D11">IFERROR(INDIRECT("'renta'!G$"&amp;MATCH(T11,renta!$A:$A,0))*0.975-(G11*INDIRECT("'renta'!G$"&amp;MATCH(F11,renta!$A:$A,0)))/B11-IFERROR((J11*INDIRECT("'renta'!G$"&amp;MATCH(I11,renta!$A:$A,0)))/B11,0),)</f>
        <v>-0.0004282496933</v>
      </c>
      <c r="E11" s="41">
        <f t="shared" si="1"/>
        <v>-2.518108196</v>
      </c>
      <c r="F11" s="61" t="s">
        <v>12</v>
      </c>
      <c r="G11" s="62">
        <f t="shared" si="2"/>
        <v>4189.5</v>
      </c>
      <c r="H11" s="63" t="s">
        <v>195</v>
      </c>
      <c r="I11" s="64"/>
      <c r="J11" s="64"/>
      <c r="K11" s="64"/>
      <c r="L11" s="59" t="s">
        <v>137</v>
      </c>
      <c r="M11" s="65">
        <v>210.0</v>
      </c>
      <c r="N11" s="65">
        <v>1.0</v>
      </c>
      <c r="O11" s="66" t="s">
        <v>24</v>
      </c>
      <c r="P11" s="65">
        <v>50.0</v>
      </c>
      <c r="Q11" s="65"/>
      <c r="R11" s="67">
        <f t="array" ref="R11">INDIRECT("'renta'!G$"&amp;MATCH(O11,renta!$A:$A,0))*P11</f>
        <v>15.58846474</v>
      </c>
      <c r="S11" s="68">
        <f t="shared" si="3"/>
        <v>36.82501594</v>
      </c>
      <c r="T11" s="69" t="str">
        <f t="shared" si="4"/>
        <v>MUD</v>
      </c>
      <c r="U11" s="70">
        <f t="shared" si="5"/>
        <v>-12.69216447</v>
      </c>
      <c r="V11" s="71"/>
      <c r="W11" s="72" t="str">
        <f t="shared" si="6"/>
        <v/>
      </c>
      <c r="X11" s="72"/>
      <c r="Y11" s="71">
        <v>567.0</v>
      </c>
      <c r="Z11" s="60">
        <v>0.006944444444444444</v>
      </c>
      <c r="AA11" s="85" t="s">
        <v>196</v>
      </c>
      <c r="AB11" s="74" t="s">
        <v>197</v>
      </c>
      <c r="AC11" s="75" t="s">
        <v>186</v>
      </c>
      <c r="AD11" s="70"/>
      <c r="AE11" s="76"/>
      <c r="AF11" s="61" t="s">
        <v>161</v>
      </c>
      <c r="AG11" s="61" t="s">
        <v>198</v>
      </c>
      <c r="AH11" s="86">
        <v>7.0</v>
      </c>
      <c r="AI11" s="60"/>
    </row>
    <row r="12" hidden="1" outlineLevel="1">
      <c r="A12" s="78" t="s">
        <v>199</v>
      </c>
      <c r="B12" s="38">
        <v>2107.0</v>
      </c>
      <c r="C12" s="39">
        <v>0.027777777777777776</v>
      </c>
      <c r="D12" s="40">
        <f t="array" ref="D12">IFERROR(INDIRECT("'renta'!G$"&amp;MATCH(T12,renta!$A:$A,0))*0.975-(G12*INDIRECT("'renta'!G$"&amp;MATCH(F12,renta!$A:$A,0)))/B12-IFERROR((J12*INDIRECT("'renta'!G$"&amp;MATCH(I12,renta!$A:$A,0)))/B12,0),)</f>
        <v>-0.0004282496933</v>
      </c>
      <c r="E12" s="41">
        <f t="shared" si="1"/>
        <v>-2.706966311</v>
      </c>
      <c r="F12" s="40" t="s">
        <v>12</v>
      </c>
      <c r="G12" s="43">
        <f t="shared" si="2"/>
        <v>6004.95</v>
      </c>
      <c r="H12" s="44" t="s">
        <v>200</v>
      </c>
      <c r="I12" s="79"/>
      <c r="J12" s="79"/>
      <c r="K12" s="79"/>
      <c r="L12" s="38" t="s">
        <v>137</v>
      </c>
      <c r="M12" s="46">
        <v>301.0</v>
      </c>
      <c r="N12" s="46">
        <v>1.0</v>
      </c>
      <c r="O12" s="42" t="s">
        <v>27</v>
      </c>
      <c r="P12" s="46">
        <v>2.0</v>
      </c>
      <c r="Q12" s="46"/>
      <c r="R12" s="47">
        <f t="array" ref="R12">INDIRECT("'renta'!G$"&amp;MATCH(O12,renta!$A:$A,0))*P12</f>
        <v>16.66</v>
      </c>
      <c r="S12" s="48">
        <f t="shared" si="3"/>
        <v>53.48501594</v>
      </c>
      <c r="T12" s="49" t="str">
        <f t="shared" si="4"/>
        <v>MUD</v>
      </c>
      <c r="U12" s="50">
        <f t="shared" si="5"/>
        <v>-11.33602129</v>
      </c>
      <c r="V12" s="80"/>
      <c r="W12" s="52" t="str">
        <f t="shared" si="6"/>
        <v/>
      </c>
      <c r="X12" s="52"/>
      <c r="Y12" s="80">
        <v>637.0</v>
      </c>
      <c r="Z12" s="39">
        <v>0.006944444444444444</v>
      </c>
      <c r="AA12" s="81" t="s">
        <v>201</v>
      </c>
      <c r="AB12" s="82" t="s">
        <v>202</v>
      </c>
      <c r="AC12" s="54" t="s">
        <v>186</v>
      </c>
      <c r="AD12" s="50"/>
      <c r="AE12" s="83"/>
      <c r="AF12" s="40" t="s">
        <v>161</v>
      </c>
      <c r="AG12" s="40" t="s">
        <v>203</v>
      </c>
      <c r="AH12" s="87">
        <v>7.0</v>
      </c>
      <c r="AI12" s="39"/>
    </row>
    <row r="13" hidden="1" outlineLevel="1">
      <c r="A13" s="58" t="s">
        <v>204</v>
      </c>
      <c r="B13" s="59">
        <v>2527.0</v>
      </c>
      <c r="C13" s="60">
        <v>0.031238425925925926</v>
      </c>
      <c r="D13" s="61">
        <f t="array" ref="D13">IFERROR(INDIRECT("'renta'!G$"&amp;MATCH(T13,renta!$A:$A,0))*0.975-(G13*INDIRECT("'renta'!G$"&amp;MATCH(F13,renta!$A:$A,0)))/B13-IFERROR((J13*INDIRECT("'renta'!G$"&amp;MATCH(I13,renta!$A:$A,0)))/B13,0),)</f>
        <v>-0.0004282496933</v>
      </c>
      <c r="E13" s="41">
        <f t="shared" si="1"/>
        <v>-2.886901156</v>
      </c>
      <c r="F13" s="61" t="s">
        <v>12</v>
      </c>
      <c r="G13" s="62">
        <f t="shared" si="2"/>
        <v>7201.95</v>
      </c>
      <c r="H13" s="63" t="s">
        <v>205</v>
      </c>
      <c r="I13" s="64"/>
      <c r="J13" s="64"/>
      <c r="K13" s="64"/>
      <c r="L13" s="59" t="s">
        <v>137</v>
      </c>
      <c r="M13" s="65">
        <v>361.0</v>
      </c>
      <c r="N13" s="65">
        <v>1.0</v>
      </c>
      <c r="O13" s="66" t="s">
        <v>27</v>
      </c>
      <c r="P13" s="65">
        <v>3.0</v>
      </c>
      <c r="Q13" s="65"/>
      <c r="R13" s="67">
        <f t="array" ref="R13">INDIRECT("'renta'!G$"&amp;MATCH(O13,renta!$A:$A,0))*P13</f>
        <v>24.99</v>
      </c>
      <c r="S13" s="68">
        <f t="shared" si="3"/>
        <v>78.47501594</v>
      </c>
      <c r="T13" s="69" t="str">
        <f t="shared" si="4"/>
        <v>MUD</v>
      </c>
      <c r="U13" s="70">
        <f t="shared" si="5"/>
        <v>-7.200273891</v>
      </c>
      <c r="V13" s="71"/>
      <c r="W13" s="72" t="str">
        <f t="shared" si="6"/>
        <v/>
      </c>
      <c r="X13" s="72"/>
      <c r="Y13" s="71">
        <v>420.0</v>
      </c>
      <c r="Z13" s="60">
        <v>0.003460648148148148</v>
      </c>
      <c r="AA13" s="85" t="s">
        <v>206</v>
      </c>
      <c r="AB13" s="74" t="s">
        <v>207</v>
      </c>
      <c r="AC13" s="75" t="s">
        <v>186</v>
      </c>
      <c r="AD13" s="70"/>
      <c r="AE13" s="76"/>
      <c r="AF13" s="61" t="s">
        <v>161</v>
      </c>
      <c r="AG13" s="61" t="s">
        <v>208</v>
      </c>
      <c r="AH13" s="86">
        <v>7.0</v>
      </c>
      <c r="AI13" s="60"/>
    </row>
    <row r="14" hidden="1" outlineLevel="1">
      <c r="A14" s="78" t="s">
        <v>209</v>
      </c>
      <c r="B14" s="38">
        <v>2975.0</v>
      </c>
      <c r="C14" s="39">
        <v>0.034722222222222224</v>
      </c>
      <c r="D14" s="40">
        <f t="array" ref="D14">IFERROR(INDIRECT("'renta'!G$"&amp;MATCH(T14,renta!$A:$A,0))*0.975-(G14*INDIRECT("'renta'!G$"&amp;MATCH(F14,renta!$A:$A,0)))/B14-IFERROR((J14*INDIRECT("'renta'!G$"&amp;MATCH(I14,renta!$A:$A,0)))/B14,0),)</f>
        <v>-0.0004282496933</v>
      </c>
      <c r="E14" s="41">
        <f t="shared" si="1"/>
        <v>-3.05770281</v>
      </c>
      <c r="F14" s="40" t="s">
        <v>12</v>
      </c>
      <c r="G14" s="43">
        <f t="shared" si="2"/>
        <v>8478.75</v>
      </c>
      <c r="H14" s="44" t="s">
        <v>210</v>
      </c>
      <c r="I14" s="79"/>
      <c r="J14" s="79"/>
      <c r="K14" s="79"/>
      <c r="L14" s="38" t="s">
        <v>137</v>
      </c>
      <c r="M14" s="46">
        <v>425.0</v>
      </c>
      <c r="N14" s="46">
        <v>1.0</v>
      </c>
      <c r="O14" s="42" t="s">
        <v>27</v>
      </c>
      <c r="P14" s="46">
        <v>5.0</v>
      </c>
      <c r="Q14" s="46"/>
      <c r="R14" s="47">
        <f t="array" ref="R14">INDIRECT("'renta'!G$"&amp;MATCH(O14,renta!$A:$A,0))*P14</f>
        <v>41.65</v>
      </c>
      <c r="S14" s="48">
        <f t="shared" si="3"/>
        <v>120.1250159</v>
      </c>
      <c r="T14" s="49" t="str">
        <f t="shared" si="4"/>
        <v>MUD</v>
      </c>
      <c r="U14" s="50">
        <f t="shared" si="5"/>
        <v>-4.100880054</v>
      </c>
      <c r="V14" s="80"/>
      <c r="W14" s="52" t="str">
        <f t="shared" si="6"/>
        <v/>
      </c>
      <c r="X14" s="52"/>
      <c r="Y14" s="80">
        <v>448.0</v>
      </c>
      <c r="Z14" s="39">
        <v>0.0034837962962962965</v>
      </c>
      <c r="AA14" s="81" t="s">
        <v>211</v>
      </c>
      <c r="AB14" s="82" t="s">
        <v>212</v>
      </c>
      <c r="AC14" s="54" t="s">
        <v>186</v>
      </c>
      <c r="AD14" s="50"/>
      <c r="AE14" s="83"/>
      <c r="AF14" s="40" t="s">
        <v>161</v>
      </c>
      <c r="AG14" s="40" t="s">
        <v>213</v>
      </c>
      <c r="AH14" s="87">
        <v>7.0</v>
      </c>
      <c r="AI14" s="39"/>
    </row>
    <row r="15" hidden="1" outlineLevel="1">
      <c r="A15" s="58" t="s">
        <v>214</v>
      </c>
      <c r="B15" s="59">
        <v>3384.0</v>
      </c>
      <c r="C15" s="60">
        <v>0.0375</v>
      </c>
      <c r="D15" s="61">
        <f t="array" ref="D15">IFERROR(INDIRECT("'renta'!G$"&amp;MATCH(T15,renta!$A:$A,0))*0.975-(G15*INDIRECT("'renta'!G$"&amp;MATCH(F15,renta!$A:$A,0)))/B15-IFERROR((J15*INDIRECT("'renta'!G$"&amp;MATCH(I15,renta!$A:$A,0)))/B15,0),)</f>
        <v>-0.0004282496932</v>
      </c>
      <c r="E15" s="41">
        <f t="shared" si="1"/>
        <v>-3.220437693</v>
      </c>
      <c r="F15" s="61" t="s">
        <v>12</v>
      </c>
      <c r="G15" s="62">
        <f t="shared" si="2"/>
        <v>9644.4</v>
      </c>
      <c r="H15" s="63" t="s">
        <v>215</v>
      </c>
      <c r="I15" s="64"/>
      <c r="J15" s="64"/>
      <c r="K15" s="64"/>
      <c r="L15" s="59" t="s">
        <v>137</v>
      </c>
      <c r="M15" s="65">
        <v>484.0</v>
      </c>
      <c r="N15" s="65">
        <v>1.0</v>
      </c>
      <c r="O15" s="66" t="s">
        <v>27</v>
      </c>
      <c r="P15" s="65">
        <v>8.0</v>
      </c>
      <c r="Q15" s="65"/>
      <c r="R15" s="67">
        <f t="array" ref="R15">INDIRECT("'renta'!G$"&amp;MATCH(O15,renta!$A:$A,0))*P15</f>
        <v>66.64</v>
      </c>
      <c r="S15" s="68">
        <f t="shared" si="3"/>
        <v>186.7650159</v>
      </c>
      <c r="T15" s="69" t="str">
        <f t="shared" si="4"/>
        <v>MUD</v>
      </c>
      <c r="U15" s="70">
        <f t="shared" si="5"/>
        <v>-2.442000052</v>
      </c>
      <c r="V15" s="71"/>
      <c r="W15" s="72" t="str">
        <f t="shared" si="6"/>
        <v/>
      </c>
      <c r="X15" s="72"/>
      <c r="Y15" s="71">
        <v>409.0</v>
      </c>
      <c r="Z15" s="60">
        <v>0.002777777777777778</v>
      </c>
      <c r="AA15" s="85" t="s">
        <v>216</v>
      </c>
      <c r="AB15" s="74" t="s">
        <v>217</v>
      </c>
      <c r="AC15" s="75" t="s">
        <v>186</v>
      </c>
      <c r="AD15" s="70"/>
      <c r="AE15" s="76"/>
      <c r="AF15" s="61" t="s">
        <v>218</v>
      </c>
      <c r="AG15" s="61" t="s">
        <v>219</v>
      </c>
      <c r="AH15" s="86">
        <v>7.0</v>
      </c>
      <c r="AI15" s="60"/>
    </row>
    <row r="16" hidden="1" outlineLevel="1">
      <c r="A16" s="78" t="s">
        <v>220</v>
      </c>
      <c r="B16" s="38">
        <v>3743.0</v>
      </c>
      <c r="C16" s="39">
        <v>0.03958333333333333</v>
      </c>
      <c r="D16" s="40">
        <f t="array" ref="D16">IFERROR(INDIRECT("'renta'!G$"&amp;MATCH(T16,renta!$A:$A,0))*0.975-(G16*INDIRECT("'renta'!G$"&amp;MATCH(F16,renta!$A:$A,0)))/B16-IFERROR((J16*INDIRECT("'renta'!G$"&amp;MATCH(I16,renta!$A:$A,0)))/B16,0),)</f>
        <v>-0.0004282496933</v>
      </c>
      <c r="E16" s="41">
        <f t="shared" si="1"/>
        <v>-3.374607583</v>
      </c>
      <c r="F16" s="40" t="s">
        <v>12</v>
      </c>
      <c r="G16" s="43">
        <f t="shared" si="2"/>
        <v>10667.55</v>
      </c>
      <c r="H16" s="44" t="s">
        <v>221</v>
      </c>
      <c r="I16" s="79"/>
      <c r="J16" s="79"/>
      <c r="K16" s="79"/>
      <c r="L16" s="38" t="s">
        <v>137</v>
      </c>
      <c r="M16" s="46">
        <v>535.0</v>
      </c>
      <c r="N16" s="46">
        <v>1.0</v>
      </c>
      <c r="O16" s="42" t="s">
        <v>27</v>
      </c>
      <c r="P16" s="46">
        <v>12.0</v>
      </c>
      <c r="Q16" s="46"/>
      <c r="R16" s="47">
        <f t="array" ref="R16">INDIRECT("'renta'!G$"&amp;MATCH(O16,renta!$A:$A,0))*P16</f>
        <v>99.96</v>
      </c>
      <c r="S16" s="48">
        <f t="shared" si="3"/>
        <v>286.7250159</v>
      </c>
      <c r="T16" s="49" t="str">
        <f t="shared" si="4"/>
        <v>MUD</v>
      </c>
      <c r="U16" s="50">
        <f t="shared" si="5"/>
        <v>-1.542315822</v>
      </c>
      <c r="V16" s="80"/>
      <c r="W16" s="52" t="str">
        <f t="shared" si="6"/>
        <v/>
      </c>
      <c r="X16" s="52"/>
      <c r="Y16" s="80">
        <v>359.0</v>
      </c>
      <c r="Z16" s="39">
        <v>0.0020833333333333333</v>
      </c>
      <c r="AA16" s="81" t="s">
        <v>222</v>
      </c>
      <c r="AB16" s="82" t="s">
        <v>223</v>
      </c>
      <c r="AC16" s="54" t="s">
        <v>186</v>
      </c>
      <c r="AD16" s="50"/>
      <c r="AE16" s="83"/>
      <c r="AF16" s="40" t="s">
        <v>161</v>
      </c>
      <c r="AG16" s="40" t="s">
        <v>224</v>
      </c>
      <c r="AH16" s="87">
        <v>7.0</v>
      </c>
      <c r="AI16" s="39"/>
    </row>
    <row r="17" hidden="1" outlineLevel="1">
      <c r="A17" s="58" t="s">
        <v>225</v>
      </c>
      <c r="B17" s="59">
        <v>4110.0</v>
      </c>
      <c r="C17" s="60">
        <v>0.041666666666666664</v>
      </c>
      <c r="D17" s="61">
        <f t="array" ref="D17">IFERROR(INDIRECT("'renta'!G$"&amp;MATCH(T17,renta!$A:$A,0))*0.975-(G17*INDIRECT("'renta'!G$"&amp;MATCH(F17,renta!$A:$A,0)))/B17-IFERROR((J17*INDIRECT("'renta'!G$"&amp;MATCH(I17,renta!$A:$A,0)))/B17,0),)</f>
        <v>-0.0004282496933</v>
      </c>
      <c r="E17" s="41">
        <f t="shared" si="1"/>
        <v>-3.520212479</v>
      </c>
      <c r="F17" s="61" t="s">
        <v>12</v>
      </c>
      <c r="G17" s="62">
        <f t="shared" si="2"/>
        <v>11713.5</v>
      </c>
      <c r="H17" s="63" t="s">
        <v>226</v>
      </c>
      <c r="I17" s="64"/>
      <c r="J17" s="64"/>
      <c r="K17" s="64"/>
      <c r="L17" s="59" t="s">
        <v>137</v>
      </c>
      <c r="M17" s="65">
        <v>588.0</v>
      </c>
      <c r="N17" s="65">
        <v>1.0</v>
      </c>
      <c r="O17" s="66" t="s">
        <v>27</v>
      </c>
      <c r="P17" s="65">
        <v>16.0</v>
      </c>
      <c r="Q17" s="65"/>
      <c r="R17" s="67">
        <f t="array" ref="R17">INDIRECT("'renta'!G$"&amp;MATCH(O17,renta!$A:$A,0))*P17</f>
        <v>133.28</v>
      </c>
      <c r="S17" s="68">
        <f t="shared" si="3"/>
        <v>420.0050159</v>
      </c>
      <c r="T17" s="69" t="str">
        <f t="shared" si="4"/>
        <v>MUD</v>
      </c>
      <c r="U17" s="70">
        <f t="shared" si="5"/>
        <v>-1.092473707</v>
      </c>
      <c r="V17" s="71"/>
      <c r="W17" s="72" t="str">
        <f t="shared" si="6"/>
        <v/>
      </c>
      <c r="X17" s="72"/>
      <c r="Y17" s="71">
        <v>367.0</v>
      </c>
      <c r="Z17" s="60">
        <v>0.0020833333333333333</v>
      </c>
      <c r="AA17" s="85" t="s">
        <v>227</v>
      </c>
      <c r="AB17" s="74" t="s">
        <v>228</v>
      </c>
      <c r="AC17" s="75" t="s">
        <v>186</v>
      </c>
      <c r="AD17" s="70"/>
      <c r="AE17" s="76"/>
      <c r="AF17" s="61" t="s">
        <v>218</v>
      </c>
      <c r="AG17" s="61" t="s">
        <v>229</v>
      </c>
      <c r="AH17" s="86">
        <v>7.0</v>
      </c>
      <c r="AI17" s="60"/>
    </row>
    <row r="18" hidden="1" outlineLevel="1">
      <c r="A18" s="78" t="s">
        <v>19</v>
      </c>
      <c r="B18" s="38">
        <v>4412.0</v>
      </c>
      <c r="C18" s="39">
        <v>0.043055555555555555</v>
      </c>
      <c r="D18" s="40">
        <f t="array" ref="D18">IFERROR(INDIRECT("'renta'!G$"&amp;MATCH(T18,renta!$A:$A,0))*0.975-(G18*INDIRECT("'renta'!G$"&amp;MATCH(F18,renta!$A:$A,0)))/B18-IFERROR((J18*INDIRECT("'renta'!G$"&amp;MATCH(I18,renta!$A:$A,0)))/B18,0),)</f>
        <v>-0.0004282496933</v>
      </c>
      <c r="E18" s="41">
        <f t="shared" si="1"/>
        <v>-3.65697609</v>
      </c>
      <c r="F18" s="40" t="s">
        <v>12</v>
      </c>
      <c r="G18" s="43">
        <f t="shared" si="2"/>
        <v>12574.2</v>
      </c>
      <c r="H18" s="44" t="s">
        <v>230</v>
      </c>
      <c r="I18" s="79"/>
      <c r="J18" s="79"/>
      <c r="K18" s="79"/>
      <c r="L18" s="38" t="s">
        <v>137</v>
      </c>
      <c r="M18" s="46">
        <v>631.0</v>
      </c>
      <c r="N18" s="46">
        <v>1.0</v>
      </c>
      <c r="O18" s="42" t="s">
        <v>27</v>
      </c>
      <c r="P18" s="46">
        <v>21.0</v>
      </c>
      <c r="Q18" s="46"/>
      <c r="R18" s="47">
        <f t="array" ref="R18">INDIRECT("'renta'!G$"&amp;MATCH(O18,renta!$A:$A,0))*P18</f>
        <v>174.93</v>
      </c>
      <c r="S18" s="48">
        <f t="shared" si="3"/>
        <v>594.9350159</v>
      </c>
      <c r="T18" s="49" t="str">
        <f t="shared" si="4"/>
        <v>MUD</v>
      </c>
      <c r="U18" s="50">
        <f t="shared" si="5"/>
        <v>-0.7818190803</v>
      </c>
      <c r="V18" s="80">
        <v>0.631</v>
      </c>
      <c r="W18" s="52">
        <f t="shared" si="6"/>
        <v>-2.994354432</v>
      </c>
      <c r="X18" s="52"/>
      <c r="Y18" s="80">
        <v>302.0</v>
      </c>
      <c r="Z18" s="39">
        <v>0.001388888888888889</v>
      </c>
      <c r="AA18" s="81" t="s">
        <v>231</v>
      </c>
      <c r="AB18" s="82" t="s">
        <v>232</v>
      </c>
      <c r="AC18" s="54" t="s">
        <v>186</v>
      </c>
      <c r="AD18" s="50"/>
      <c r="AE18" s="83"/>
      <c r="AF18" s="40" t="s">
        <v>218</v>
      </c>
      <c r="AG18" s="40" t="s">
        <v>233</v>
      </c>
      <c r="AH18" s="87">
        <v>7.0</v>
      </c>
      <c r="AI18" s="39"/>
    </row>
    <row r="19" hidden="1" outlineLevel="1">
      <c r="A19" s="58" t="s">
        <v>234</v>
      </c>
      <c r="B19" s="59">
        <v>4714.0</v>
      </c>
      <c r="C19" s="60">
        <v>0.044444444444444446</v>
      </c>
      <c r="D19" s="61">
        <f t="array" ref="D19">IFERROR(INDIRECT("'renta'!G$"&amp;MATCH(T19,renta!$A:$A,0))*0.975-(G19*INDIRECT("'renta'!G$"&amp;MATCH(F19,renta!$A:$A,0)))/B19-IFERROR((J19*INDIRECT("'renta'!G$"&amp;MATCH(I19,renta!$A:$A,0)))/B19,0),)</f>
        <v>-0.0004282496933</v>
      </c>
      <c r="E19" s="41">
        <f t="shared" si="1"/>
        <v>-3.785191976</v>
      </c>
      <c r="F19" s="61" t="s">
        <v>12</v>
      </c>
      <c r="G19" s="62">
        <f t="shared" si="2"/>
        <v>13434.9</v>
      </c>
      <c r="H19" s="63" t="s">
        <v>235</v>
      </c>
      <c r="I19" s="64"/>
      <c r="J19" s="64"/>
      <c r="K19" s="64"/>
      <c r="L19" s="59" t="s">
        <v>137</v>
      </c>
      <c r="M19" s="65">
        <v>674.0</v>
      </c>
      <c r="N19" s="65">
        <v>1.0</v>
      </c>
      <c r="O19" s="66" t="s">
        <v>27</v>
      </c>
      <c r="P19" s="65">
        <v>26.0</v>
      </c>
      <c r="Q19" s="65"/>
      <c r="R19" s="67">
        <f t="array" ref="R19">INDIRECT("'renta'!G$"&amp;MATCH(O19,renta!$A:$A,0))*P19</f>
        <v>216.58</v>
      </c>
      <c r="S19" s="68">
        <f t="shared" si="3"/>
        <v>811.5150159</v>
      </c>
      <c r="T19" s="69" t="str">
        <f t="shared" si="4"/>
        <v>MUD</v>
      </c>
      <c r="U19" s="70">
        <f t="shared" si="5"/>
        <v>-0.5920024286</v>
      </c>
      <c r="V19" s="71"/>
      <c r="W19" s="72" t="str">
        <f t="shared" si="6"/>
        <v/>
      </c>
      <c r="X19" s="72"/>
      <c r="Y19" s="71">
        <v>302.0</v>
      </c>
      <c r="Z19" s="60">
        <v>0.001388888888888889</v>
      </c>
      <c r="AA19" s="85" t="s">
        <v>236</v>
      </c>
      <c r="AB19" s="74" t="s">
        <v>237</v>
      </c>
      <c r="AC19" s="75" t="s">
        <v>186</v>
      </c>
      <c r="AD19" s="70"/>
      <c r="AE19" s="76"/>
      <c r="AF19" s="61" t="s">
        <v>218</v>
      </c>
      <c r="AG19" s="61" t="s">
        <v>238</v>
      </c>
      <c r="AH19" s="86">
        <v>7.0</v>
      </c>
      <c r="AI19" s="60"/>
    </row>
    <row r="20" hidden="1" outlineLevel="1">
      <c r="A20" s="78" t="s">
        <v>239</v>
      </c>
      <c r="B20" s="38">
        <v>5016.0</v>
      </c>
      <c r="C20" s="39">
        <v>0.04583333333333333</v>
      </c>
      <c r="D20" s="40">
        <f t="array" ref="D20">IFERROR(INDIRECT("'renta'!G$"&amp;MATCH(T20,renta!$A:$A,0))*0.975-(G20*INDIRECT("'renta'!G$"&amp;MATCH(F20,renta!$A:$A,0)))/B20-IFERROR((J20*INDIRECT("'renta'!G$"&amp;MATCH(I20,renta!$A:$A,0)))/B20,0),)</f>
        <v>-0.0004282496932</v>
      </c>
      <c r="E20" s="41">
        <f t="shared" si="1"/>
        <v>-3.905637202</v>
      </c>
      <c r="F20" s="40" t="s">
        <v>12</v>
      </c>
      <c r="G20" s="43">
        <f t="shared" si="2"/>
        <v>14295.6</v>
      </c>
      <c r="H20" s="44" t="s">
        <v>240</v>
      </c>
      <c r="I20" s="79"/>
      <c r="J20" s="79"/>
      <c r="K20" s="79"/>
      <c r="L20" s="38" t="s">
        <v>137</v>
      </c>
      <c r="M20" s="46">
        <v>717.0</v>
      </c>
      <c r="N20" s="46">
        <v>1.0</v>
      </c>
      <c r="O20" s="42" t="s">
        <v>27</v>
      </c>
      <c r="P20" s="46">
        <v>32.0</v>
      </c>
      <c r="Q20" s="46"/>
      <c r="R20" s="47">
        <f t="array" ref="R20">INDIRECT("'renta'!G$"&amp;MATCH(O20,renta!$A:$A,0))*P20</f>
        <v>266.56</v>
      </c>
      <c r="S20" s="48">
        <f t="shared" si="3"/>
        <v>1078.075016</v>
      </c>
      <c r="T20" s="49" t="str">
        <f t="shared" si="4"/>
        <v>MUD</v>
      </c>
      <c r="U20" s="50">
        <f t="shared" si="5"/>
        <v>-0.4518503385</v>
      </c>
      <c r="V20" s="80"/>
      <c r="W20" s="52" t="str">
        <f t="shared" si="6"/>
        <v/>
      </c>
      <c r="X20" s="52"/>
      <c r="Y20" s="80">
        <v>302.0</v>
      </c>
      <c r="Z20" s="39">
        <v>0.001388888888888889</v>
      </c>
      <c r="AA20" s="81" t="s">
        <v>241</v>
      </c>
      <c r="AB20" s="82" t="s">
        <v>242</v>
      </c>
      <c r="AC20" s="54" t="s">
        <v>186</v>
      </c>
      <c r="AD20" s="50"/>
      <c r="AE20" s="83"/>
      <c r="AF20" s="40" t="s">
        <v>161</v>
      </c>
      <c r="AG20" s="40" t="s">
        <v>243</v>
      </c>
      <c r="AH20" s="87">
        <v>7.0</v>
      </c>
      <c r="AI20" s="39"/>
    </row>
    <row r="21" hidden="1" outlineLevel="1">
      <c r="A21" s="58" t="s">
        <v>244</v>
      </c>
      <c r="B21" s="59">
        <v>5315.0</v>
      </c>
      <c r="C21" s="60">
        <v>0.04722222222222222</v>
      </c>
      <c r="D21" s="61">
        <f t="array" ref="D21">IFERROR(INDIRECT("'renta'!G$"&amp;MATCH(T21,renta!$A:$A,0))*0.975-(G21*INDIRECT("'renta'!G$"&amp;MATCH(F21,renta!$A:$A,0)))/B21-IFERROR((J21*INDIRECT("'renta'!G$"&amp;MATCH(I21,renta!$A:$A,0)))/B21,0),)</f>
        <v>-0.0004282496933</v>
      </c>
      <c r="E21" s="41">
        <f t="shared" si="1"/>
        <v>-4.016730211</v>
      </c>
      <c r="F21" s="61" t="s">
        <v>12</v>
      </c>
      <c r="G21" s="62">
        <f t="shared" si="2"/>
        <v>15147.75</v>
      </c>
      <c r="H21" s="63" t="s">
        <v>245</v>
      </c>
      <c r="I21" s="64"/>
      <c r="J21" s="64"/>
      <c r="K21" s="64"/>
      <c r="L21" s="59" t="s">
        <v>137</v>
      </c>
      <c r="M21" s="65">
        <v>760.0</v>
      </c>
      <c r="N21" s="65">
        <v>1.0</v>
      </c>
      <c r="O21" s="66" t="s">
        <v>27</v>
      </c>
      <c r="P21" s="65">
        <v>39.0</v>
      </c>
      <c r="Q21" s="65"/>
      <c r="R21" s="67">
        <f t="array" ref="R21">INDIRECT("'renta'!G$"&amp;MATCH(O21,renta!$A:$A,0))*P21</f>
        <v>324.87</v>
      </c>
      <c r="S21" s="68">
        <f t="shared" si="3"/>
        <v>1402.945016</v>
      </c>
      <c r="T21" s="69" t="str">
        <f t="shared" si="4"/>
        <v>MUD</v>
      </c>
      <c r="U21" s="70">
        <f t="shared" si="5"/>
        <v>-0.3419614266</v>
      </c>
      <c r="V21" s="71"/>
      <c r="W21" s="72" t="str">
        <f t="shared" si="6"/>
        <v/>
      </c>
      <c r="X21" s="72"/>
      <c r="Y21" s="71">
        <v>299.0</v>
      </c>
      <c r="Z21" s="60">
        <v>0.001388888888888889</v>
      </c>
      <c r="AA21" s="85" t="s">
        <v>246</v>
      </c>
      <c r="AB21" s="74" t="s">
        <v>247</v>
      </c>
      <c r="AC21" s="75" t="s">
        <v>186</v>
      </c>
      <c r="AD21" s="70"/>
      <c r="AE21" s="76"/>
      <c r="AF21" s="61" t="s">
        <v>218</v>
      </c>
      <c r="AG21" s="61" t="s">
        <v>248</v>
      </c>
      <c r="AH21" s="86">
        <v>7.0</v>
      </c>
      <c r="AI21" s="60"/>
    </row>
    <row r="22" hidden="1" outlineLevel="1">
      <c r="A22" s="78" t="s">
        <v>249</v>
      </c>
      <c r="B22" s="38">
        <v>5611.0</v>
      </c>
      <c r="C22" s="39">
        <v>0.04861111111111111</v>
      </c>
      <c r="D22" s="40">
        <f t="array" ref="D22">IFERROR(INDIRECT("'renta'!G$"&amp;MATCH(T22,renta!$A:$A,0))*0.975-(G22*INDIRECT("'renta'!G$"&amp;MATCH(F22,renta!$A:$A,0)))/B22-IFERROR((J22*INDIRECT("'renta'!G$"&amp;MATCH(I22,renta!$A:$A,0)))/B22,0),)</f>
        <v>-0.0004282496933</v>
      </c>
      <c r="E22" s="41">
        <f t="shared" si="1"/>
        <v>-4.119272621</v>
      </c>
      <c r="F22" s="40" t="s">
        <v>12</v>
      </c>
      <c r="G22" s="43">
        <f t="shared" si="2"/>
        <v>15991.35</v>
      </c>
      <c r="H22" s="44" t="s">
        <v>250</v>
      </c>
      <c r="I22" s="79"/>
      <c r="J22" s="79"/>
      <c r="K22" s="79"/>
      <c r="L22" s="38" t="s">
        <v>137</v>
      </c>
      <c r="M22" s="46">
        <v>802.0</v>
      </c>
      <c r="N22" s="46">
        <v>1.0</v>
      </c>
      <c r="O22" s="42" t="s">
        <v>27</v>
      </c>
      <c r="P22" s="46">
        <v>47.0</v>
      </c>
      <c r="Q22" s="46"/>
      <c r="R22" s="47">
        <f t="array" ref="R22">INDIRECT("'renta'!G$"&amp;MATCH(O22,renta!$A:$A,0))*P22</f>
        <v>391.51</v>
      </c>
      <c r="S22" s="48">
        <f t="shared" si="3"/>
        <v>1794.455016</v>
      </c>
      <c r="T22" s="49" t="str">
        <f t="shared" si="4"/>
        <v>MUD</v>
      </c>
      <c r="U22" s="50">
        <f t="shared" si="5"/>
        <v>-0.2619151739</v>
      </c>
      <c r="V22" s="80"/>
      <c r="W22" s="52" t="str">
        <f t="shared" si="6"/>
        <v/>
      </c>
      <c r="X22" s="52"/>
      <c r="Y22" s="80">
        <v>296.0</v>
      </c>
      <c r="Z22" s="39">
        <v>0.001388888888888889</v>
      </c>
      <c r="AA22" s="81" t="s">
        <v>251</v>
      </c>
      <c r="AB22" s="82" t="s">
        <v>252</v>
      </c>
      <c r="AC22" s="54" t="s">
        <v>186</v>
      </c>
      <c r="AD22" s="50"/>
      <c r="AE22" s="83"/>
      <c r="AF22" s="40" t="s">
        <v>161</v>
      </c>
      <c r="AG22" s="40" t="s">
        <v>253</v>
      </c>
      <c r="AH22" s="87">
        <v>7.0</v>
      </c>
      <c r="AI22" s="39"/>
    </row>
    <row r="23" hidden="1" outlineLevel="1">
      <c r="A23" s="58" t="s">
        <v>254</v>
      </c>
      <c r="B23" s="59">
        <v>5910.0</v>
      </c>
      <c r="C23" s="60">
        <v>0.05</v>
      </c>
      <c r="D23" s="61">
        <f t="array" ref="D23">IFERROR(INDIRECT("'renta'!G$"&amp;MATCH(T23,renta!$A:$A,0))*0.975-(G23*INDIRECT("'renta'!G$"&amp;MATCH(F23,renta!$A:$A,0)))/B23-IFERROR((J23*INDIRECT("'renta'!G$"&amp;MATCH(I23,renta!$A:$A,0)))/B23,0),)</f>
        <v>-0.0004282496933</v>
      </c>
      <c r="E23" s="41">
        <f t="shared" si="1"/>
        <v>-4.218259479</v>
      </c>
      <c r="F23" s="61" t="s">
        <v>12</v>
      </c>
      <c r="G23" s="62">
        <f t="shared" si="2"/>
        <v>16843.5</v>
      </c>
      <c r="H23" s="63" t="s">
        <v>255</v>
      </c>
      <c r="I23" s="64"/>
      <c r="J23" s="64"/>
      <c r="K23" s="64"/>
      <c r="L23" s="59" t="s">
        <v>137</v>
      </c>
      <c r="M23" s="65">
        <v>845.0</v>
      </c>
      <c r="N23" s="65">
        <v>1.0</v>
      </c>
      <c r="O23" s="66" t="s">
        <v>27</v>
      </c>
      <c r="P23" s="65">
        <v>55.0</v>
      </c>
      <c r="Q23" s="65"/>
      <c r="R23" s="67">
        <f t="array" ref="R23">INDIRECT("'renta'!G$"&amp;MATCH(O23,renta!$A:$A,0))*P23</f>
        <v>458.15</v>
      </c>
      <c r="S23" s="68">
        <f t="shared" si="3"/>
        <v>2252.605016</v>
      </c>
      <c r="T23" s="69" t="str">
        <f t="shared" si="4"/>
        <v>MUD</v>
      </c>
      <c r="U23" s="70">
        <f t="shared" si="5"/>
        <v>-0.2160577489</v>
      </c>
      <c r="V23" s="71"/>
      <c r="W23" s="72" t="str">
        <f t="shared" si="6"/>
        <v/>
      </c>
      <c r="X23" s="72"/>
      <c r="Y23" s="71">
        <v>299.0</v>
      </c>
      <c r="Z23" s="60">
        <v>0.001388888888888889</v>
      </c>
      <c r="AA23" s="85" t="s">
        <v>256</v>
      </c>
      <c r="AB23" s="74" t="s">
        <v>257</v>
      </c>
      <c r="AC23" s="75" t="s">
        <v>186</v>
      </c>
      <c r="AD23" s="70"/>
      <c r="AE23" s="76"/>
      <c r="AF23" s="61" t="s">
        <v>218</v>
      </c>
      <c r="AG23" s="61" t="s">
        <v>258</v>
      </c>
      <c r="AH23" s="86">
        <v>7.0</v>
      </c>
      <c r="AI23" s="60"/>
    </row>
    <row r="24" hidden="1" outlineLevel="1">
      <c r="A24" s="78" t="s">
        <v>259</v>
      </c>
      <c r="B24" s="38">
        <v>6210.0</v>
      </c>
      <c r="C24" s="39">
        <v>0.05138888888888889</v>
      </c>
      <c r="D24" s="40">
        <f t="array" ref="D24">IFERROR(INDIRECT("'renta'!G$"&amp;MATCH(T24,renta!$A:$A,0))*0.975-(G24*INDIRECT("'renta'!G$"&amp;MATCH(F24,renta!$A:$A,0)))/B24-IFERROR((J24*INDIRECT("'renta'!G$"&amp;MATCH(I24,renta!$A:$A,0)))/B24,0),)</f>
        <v>-0.0004282496933</v>
      </c>
      <c r="E24" s="41">
        <f t="shared" si="1"/>
        <v>-4.312590154</v>
      </c>
      <c r="F24" s="40" t="s">
        <v>12</v>
      </c>
      <c r="G24" s="43">
        <f t="shared" si="2"/>
        <v>17698.5</v>
      </c>
      <c r="H24" s="44" t="s">
        <v>260</v>
      </c>
      <c r="I24" s="79"/>
      <c r="J24" s="79"/>
      <c r="K24" s="79"/>
      <c r="L24" s="38" t="s">
        <v>137</v>
      </c>
      <c r="M24" s="46">
        <v>888.0</v>
      </c>
      <c r="N24" s="46">
        <v>1.0</v>
      </c>
      <c r="O24" s="42" t="s">
        <v>27</v>
      </c>
      <c r="P24" s="46">
        <v>64.0</v>
      </c>
      <c r="Q24" s="46"/>
      <c r="R24" s="47">
        <f t="array" ref="R24">INDIRECT("'renta'!G$"&amp;MATCH(O24,renta!$A:$A,0))*P24</f>
        <v>533.12</v>
      </c>
      <c r="S24" s="48">
        <f t="shared" si="3"/>
        <v>2785.725016</v>
      </c>
      <c r="T24" s="49" t="str">
        <f t="shared" si="4"/>
        <v>MUD</v>
      </c>
      <c r="U24" s="50">
        <f t="shared" si="5"/>
        <v>-0.1769407932</v>
      </c>
      <c r="V24" s="80"/>
      <c r="W24" s="52" t="str">
        <f t="shared" si="6"/>
        <v/>
      </c>
      <c r="X24" s="52"/>
      <c r="Y24" s="80">
        <v>300.0</v>
      </c>
      <c r="Z24" s="39">
        <v>0.001388888888888889</v>
      </c>
      <c r="AA24" s="81" t="s">
        <v>261</v>
      </c>
      <c r="AB24" s="82" t="s">
        <v>262</v>
      </c>
      <c r="AC24" s="54" t="s">
        <v>186</v>
      </c>
      <c r="AD24" s="50"/>
      <c r="AE24" s="83"/>
      <c r="AF24" s="40" t="s">
        <v>218</v>
      </c>
      <c r="AG24" s="40" t="s">
        <v>263</v>
      </c>
      <c r="AH24" s="87">
        <v>7.0</v>
      </c>
      <c r="AI24" s="39"/>
    </row>
    <row r="25" hidden="1" outlineLevel="1">
      <c r="A25" s="58" t="s">
        <v>264</v>
      </c>
      <c r="B25" s="59">
        <v>6511.0</v>
      </c>
      <c r="C25" s="60">
        <v>0.05277777777777778</v>
      </c>
      <c r="D25" s="61">
        <f t="array" ref="D25">IFERROR(INDIRECT("'renta'!G$"&amp;MATCH(T25,renta!$A:$A,0))*0.975-(G25*INDIRECT("'renta'!G$"&amp;MATCH(F25,renta!$A:$A,0)))/B25-IFERROR((J25*INDIRECT("'renta'!G$"&amp;MATCH(I25,renta!$A:$A,0)))/B25,0),)</f>
        <v>-0.0004282496932</v>
      </c>
      <c r="E25" s="41">
        <f t="shared" si="1"/>
        <v>-4.402632241</v>
      </c>
      <c r="F25" s="61" t="s">
        <v>12</v>
      </c>
      <c r="G25" s="62">
        <f t="shared" si="2"/>
        <v>18556.35</v>
      </c>
      <c r="H25" s="63" t="s">
        <v>265</v>
      </c>
      <c r="I25" s="64"/>
      <c r="J25" s="64"/>
      <c r="K25" s="64"/>
      <c r="L25" s="59" t="s">
        <v>137</v>
      </c>
      <c r="M25" s="65">
        <v>931.0</v>
      </c>
      <c r="N25" s="65">
        <v>1.0</v>
      </c>
      <c r="O25" s="66" t="s">
        <v>27</v>
      </c>
      <c r="P25" s="65">
        <v>75.0</v>
      </c>
      <c r="Q25" s="65"/>
      <c r="R25" s="67">
        <f t="array" ref="R25">INDIRECT("'renta'!G$"&amp;MATCH(O25,renta!$A:$A,0))*P25</f>
        <v>624.75</v>
      </c>
      <c r="S25" s="68">
        <f t="shared" si="3"/>
        <v>3410.475016</v>
      </c>
      <c r="T25" s="69" t="str">
        <f t="shared" si="4"/>
        <v>MUD</v>
      </c>
      <c r="U25" s="70">
        <f t="shared" si="5"/>
        <v>-0.1441249892</v>
      </c>
      <c r="V25" s="71"/>
      <c r="W25" s="72" t="str">
        <f t="shared" si="6"/>
        <v/>
      </c>
      <c r="X25" s="72"/>
      <c r="Y25" s="71">
        <v>301.0</v>
      </c>
      <c r="Z25" s="60">
        <v>0.001388888888888889</v>
      </c>
      <c r="AA25" s="85" t="s">
        <v>266</v>
      </c>
      <c r="AB25" s="74" t="s">
        <v>267</v>
      </c>
      <c r="AC25" s="75" t="s">
        <v>186</v>
      </c>
      <c r="AD25" s="70"/>
      <c r="AE25" s="76"/>
      <c r="AF25" s="61" t="s">
        <v>218</v>
      </c>
      <c r="AG25" s="61" t="s">
        <v>268</v>
      </c>
      <c r="AH25" s="86">
        <v>7.0</v>
      </c>
      <c r="AI25" s="60"/>
    </row>
    <row r="26" hidden="1" outlineLevel="1">
      <c r="A26" s="78" t="s">
        <v>269</v>
      </c>
      <c r="B26" s="38">
        <v>6812.0</v>
      </c>
      <c r="C26" s="39">
        <v>0.05416666666666667</v>
      </c>
      <c r="D26" s="40">
        <f t="array" ref="D26">IFERROR(INDIRECT("'renta'!G$"&amp;MATCH(T26,renta!$A:$A,0))*0.975-(G26*INDIRECT("'renta'!G$"&amp;MATCH(F26,renta!$A:$A,0)))/B26-IFERROR((J26*INDIRECT("'renta'!G$"&amp;MATCH(I26,renta!$A:$A,0)))/B26,0),)</f>
        <v>-0.0004282496933</v>
      </c>
      <c r="E26" s="41">
        <f t="shared" si="1"/>
        <v>-4.488056785</v>
      </c>
      <c r="F26" s="40" t="s">
        <v>12</v>
      </c>
      <c r="G26" s="43">
        <f t="shared" si="2"/>
        <v>19414.2</v>
      </c>
      <c r="H26" s="44" t="s">
        <v>270</v>
      </c>
      <c r="I26" s="79"/>
      <c r="J26" s="79"/>
      <c r="K26" s="79"/>
      <c r="L26" s="38" t="s">
        <v>137</v>
      </c>
      <c r="M26" s="46">
        <v>974.0</v>
      </c>
      <c r="N26" s="46">
        <v>1.0</v>
      </c>
      <c r="O26" s="42" t="s">
        <v>30</v>
      </c>
      <c r="P26" s="46">
        <v>17.0</v>
      </c>
      <c r="Q26" s="46"/>
      <c r="R26" s="47">
        <f t="array" ref="R26">INDIRECT("'renta'!G$"&amp;MATCH(O26,renta!$A:$A,0))*P26</f>
        <v>629</v>
      </c>
      <c r="S26" s="48">
        <f t="shared" si="3"/>
        <v>4039.475016</v>
      </c>
      <c r="T26" s="49" t="str">
        <f t="shared" si="4"/>
        <v>MUD</v>
      </c>
      <c r="U26" s="50">
        <f t="shared" si="5"/>
        <v>-0.135810086</v>
      </c>
      <c r="V26" s="80"/>
      <c r="W26" s="52" t="str">
        <f t="shared" si="6"/>
        <v/>
      </c>
      <c r="X26" s="52"/>
      <c r="Y26" s="80">
        <v>301.0</v>
      </c>
      <c r="Z26" s="39">
        <v>0.001388888888888889</v>
      </c>
      <c r="AA26" s="81" t="s">
        <v>271</v>
      </c>
      <c r="AB26" s="82" t="s">
        <v>272</v>
      </c>
      <c r="AC26" s="54" t="s">
        <v>186</v>
      </c>
      <c r="AD26" s="50"/>
      <c r="AE26" s="83"/>
      <c r="AF26" s="40" t="s">
        <v>218</v>
      </c>
      <c r="AG26" s="40" t="s">
        <v>273</v>
      </c>
      <c r="AH26" s="87">
        <v>7.0</v>
      </c>
      <c r="AI26" s="39"/>
    </row>
    <row r="27" hidden="1" outlineLevel="1">
      <c r="A27" s="58" t="s">
        <v>274</v>
      </c>
      <c r="B27" s="59">
        <v>7116.0</v>
      </c>
      <c r="C27" s="60">
        <v>0.05555555555555555</v>
      </c>
      <c r="D27" s="61">
        <f t="array" ref="D27">IFERROR(INDIRECT("'renta'!G$"&amp;MATCH(T27,renta!$A:$A,0))*0.975-(G27*INDIRECT("'renta'!G$"&amp;MATCH(F27,renta!$A:$A,0)))/B27-IFERROR((J27*INDIRECT("'renta'!G$"&amp;MATCH(I27,renta!$A:$A,0)))/B27,0),)</f>
        <v>-0.0004282496932</v>
      </c>
      <c r="E27" s="41">
        <f t="shared" si="1"/>
        <v>-4.571137226</v>
      </c>
      <c r="F27" s="61" t="s">
        <v>12</v>
      </c>
      <c r="G27" s="62">
        <f t="shared" si="2"/>
        <v>20280.6</v>
      </c>
      <c r="H27" s="63" t="s">
        <v>275</v>
      </c>
      <c r="I27" s="64"/>
      <c r="J27" s="64"/>
      <c r="K27" s="64"/>
      <c r="L27" s="59" t="s">
        <v>137</v>
      </c>
      <c r="M27" s="65">
        <v>1.017</v>
      </c>
      <c r="N27" s="65">
        <v>1.0</v>
      </c>
      <c r="O27" s="66" t="s">
        <v>30</v>
      </c>
      <c r="P27" s="65">
        <v>20.0</v>
      </c>
      <c r="Q27" s="65"/>
      <c r="R27" s="67">
        <f t="array" ref="R27">INDIRECT("'renta'!G$"&amp;MATCH(O27,renta!$A:$A,0))*P27</f>
        <v>740</v>
      </c>
      <c r="S27" s="68">
        <f t="shared" si="3"/>
        <v>4779.475016</v>
      </c>
      <c r="T27" s="69" t="str">
        <f t="shared" si="4"/>
        <v>MUD</v>
      </c>
      <c r="U27" s="70">
        <f t="shared" si="5"/>
        <v>-0.1122708655</v>
      </c>
      <c r="V27" s="71"/>
      <c r="W27" s="72" t="str">
        <f t="shared" si="6"/>
        <v/>
      </c>
      <c r="X27" s="72"/>
      <c r="Y27" s="71">
        <v>304.0</v>
      </c>
      <c r="Z27" s="60">
        <v>0.001388888888888889</v>
      </c>
      <c r="AA27" s="85" t="s">
        <v>276</v>
      </c>
      <c r="AB27" s="74" t="s">
        <v>277</v>
      </c>
      <c r="AC27" s="75" t="s">
        <v>186</v>
      </c>
      <c r="AD27" s="70"/>
      <c r="AE27" s="76"/>
      <c r="AF27" s="61" t="s">
        <v>161</v>
      </c>
      <c r="AG27" s="61" t="s">
        <v>278</v>
      </c>
      <c r="AH27" s="86">
        <v>7.0</v>
      </c>
      <c r="AI27" s="60"/>
    </row>
    <row r="28" hidden="1" outlineLevel="1">
      <c r="A28" s="78" t="s">
        <v>279</v>
      </c>
      <c r="B28" s="38">
        <v>7422.0</v>
      </c>
      <c r="C28" s="39">
        <v>0.05694444444444444</v>
      </c>
      <c r="D28" s="40">
        <f t="array" ref="D28">IFERROR(INDIRECT("'renta'!G$"&amp;MATCH(T28,renta!$A:$A,0))*0.975-(G28*INDIRECT("'renta'!G$"&amp;MATCH(F28,renta!$A:$A,0)))/B28-IFERROR((J28*INDIRECT("'renta'!G$"&amp;MATCH(I28,renta!$A:$A,0)))/B28,0),)</f>
        <v>-0.0004282496933</v>
      </c>
      <c r="E28" s="41">
        <f t="shared" si="1"/>
        <v>-4.651418376</v>
      </c>
      <c r="F28" s="40" t="s">
        <v>12</v>
      </c>
      <c r="G28" s="43">
        <f t="shared" si="2"/>
        <v>21152.7</v>
      </c>
      <c r="H28" s="44" t="s">
        <v>280</v>
      </c>
      <c r="I28" s="79"/>
      <c r="J28" s="79"/>
      <c r="K28" s="79"/>
      <c r="L28" s="38" t="s">
        <v>137</v>
      </c>
      <c r="M28" s="46">
        <v>1.061</v>
      </c>
      <c r="N28" s="46">
        <v>1.0</v>
      </c>
      <c r="O28" s="42" t="s">
        <v>30</v>
      </c>
      <c r="P28" s="46">
        <v>23.0</v>
      </c>
      <c r="Q28" s="46"/>
      <c r="R28" s="47">
        <f t="array" ref="R28">INDIRECT("'renta'!G$"&amp;MATCH(O28,renta!$A:$A,0))*P28</f>
        <v>851</v>
      </c>
      <c r="S28" s="48">
        <f t="shared" si="3"/>
        <v>5630.475016</v>
      </c>
      <c r="T28" s="49" t="str">
        <f t="shared" si="4"/>
        <v>MUD</v>
      </c>
      <c r="U28" s="50">
        <f t="shared" si="5"/>
        <v>-0.09433742634</v>
      </c>
      <c r="V28" s="80"/>
      <c r="W28" s="52" t="str">
        <f t="shared" si="6"/>
        <v/>
      </c>
      <c r="X28" s="52"/>
      <c r="Y28" s="80">
        <v>306.0</v>
      </c>
      <c r="Z28" s="39">
        <v>0.001388888888888889</v>
      </c>
      <c r="AA28" s="81" t="s">
        <v>281</v>
      </c>
      <c r="AB28" s="82" t="s">
        <v>282</v>
      </c>
      <c r="AC28" s="54" t="s">
        <v>186</v>
      </c>
      <c r="AD28" s="50"/>
      <c r="AE28" s="83"/>
      <c r="AF28" s="40" t="s">
        <v>161</v>
      </c>
      <c r="AG28" s="40" t="s">
        <v>283</v>
      </c>
      <c r="AH28" s="87">
        <v>7.0</v>
      </c>
      <c r="AI28" s="39"/>
    </row>
    <row r="29" hidden="1" outlineLevel="1">
      <c r="A29" s="58" t="s">
        <v>284</v>
      </c>
      <c r="B29" s="59">
        <v>7730.0</v>
      </c>
      <c r="C29" s="60">
        <v>0.05832175925925926</v>
      </c>
      <c r="D29" s="61">
        <f t="array" ref="D29">IFERROR(INDIRECT("'renta'!G$"&amp;MATCH(T29,renta!$A:$A,0))*0.975-(G29*INDIRECT("'renta'!G$"&amp;MATCH(F29,renta!$A:$A,0)))/B29-IFERROR((J29*INDIRECT("'renta'!G$"&amp;MATCH(I29,renta!$A:$A,0)))/B29,0),)</f>
        <v>-0.0004282496933</v>
      </c>
      <c r="E29" s="41">
        <f t="shared" si="1"/>
        <v>-4.730038684</v>
      </c>
      <c r="F29" s="61" t="s">
        <v>12</v>
      </c>
      <c r="G29" s="62">
        <f t="shared" si="2"/>
        <v>22030.5</v>
      </c>
      <c r="H29" s="63" t="s">
        <v>285</v>
      </c>
      <c r="I29" s="64"/>
      <c r="J29" s="64"/>
      <c r="K29" s="64"/>
      <c r="L29" s="59" t="s">
        <v>137</v>
      </c>
      <c r="M29" s="65">
        <v>1.105</v>
      </c>
      <c r="N29" s="65">
        <v>1.0</v>
      </c>
      <c r="O29" s="66" t="s">
        <v>30</v>
      </c>
      <c r="P29" s="65">
        <v>26.0</v>
      </c>
      <c r="Q29" s="65"/>
      <c r="R29" s="67">
        <f t="array" ref="R29">INDIRECT("'renta'!G$"&amp;MATCH(O29,renta!$A:$A,0))*P29</f>
        <v>962</v>
      </c>
      <c r="S29" s="68">
        <f t="shared" si="3"/>
        <v>6592.475016</v>
      </c>
      <c r="T29" s="69" t="str">
        <f t="shared" si="4"/>
        <v>MUD</v>
      </c>
      <c r="U29" s="70">
        <f t="shared" si="5"/>
        <v>-0.08172589211</v>
      </c>
      <c r="V29" s="71"/>
      <c r="W29" s="72" t="str">
        <f t="shared" si="6"/>
        <v/>
      </c>
      <c r="X29" s="72"/>
      <c r="Y29" s="71">
        <v>308.0</v>
      </c>
      <c r="Z29" s="60">
        <v>0.001388888888888889</v>
      </c>
      <c r="AA29" s="85" t="s">
        <v>286</v>
      </c>
      <c r="AB29" s="74" t="s">
        <v>287</v>
      </c>
      <c r="AC29" s="75" t="s">
        <v>186</v>
      </c>
      <c r="AD29" s="70"/>
      <c r="AE29" s="76"/>
      <c r="AF29" s="61" t="s">
        <v>161</v>
      </c>
      <c r="AG29" s="61" t="s">
        <v>288</v>
      </c>
      <c r="AH29" s="86">
        <v>7.0</v>
      </c>
      <c r="AI29" s="60"/>
    </row>
    <row r="30" hidden="1" outlineLevel="1">
      <c r="A30" s="78" t="s">
        <v>289</v>
      </c>
      <c r="B30" s="38">
        <v>8042.0</v>
      </c>
      <c r="C30" s="39">
        <v>0.059722222222222225</v>
      </c>
      <c r="D30" s="40">
        <f t="array" ref="D30">IFERROR(INDIRECT("'renta'!G$"&amp;MATCH(T30,renta!$A:$A,0))*0.975-(G30*INDIRECT("'renta'!G$"&amp;MATCH(F30,renta!$A:$A,0)))/B30-IFERROR((J30*INDIRECT("'renta'!G$"&amp;MATCH(I30,renta!$A:$A,0)))/B30,0),)</f>
        <v>-0.0004282496933</v>
      </c>
      <c r="E30" s="41">
        <f t="shared" si="1"/>
        <v>-4.805559116</v>
      </c>
      <c r="F30" s="40" t="s">
        <v>12</v>
      </c>
      <c r="G30" s="43">
        <f t="shared" si="2"/>
        <v>22919.7</v>
      </c>
      <c r="H30" s="44" t="s">
        <v>290</v>
      </c>
      <c r="I30" s="79"/>
      <c r="J30" s="79"/>
      <c r="K30" s="79"/>
      <c r="L30" s="38" t="s">
        <v>137</v>
      </c>
      <c r="M30" s="46">
        <v>1.149</v>
      </c>
      <c r="N30" s="46">
        <v>1.0</v>
      </c>
      <c r="O30" s="42" t="s">
        <v>30</v>
      </c>
      <c r="P30" s="46">
        <v>30.0</v>
      </c>
      <c r="Q30" s="46"/>
      <c r="R30" s="47">
        <f t="array" ref="R30">INDIRECT("'renta'!G$"&amp;MATCH(O30,renta!$A:$A,0))*P30</f>
        <v>1110</v>
      </c>
      <c r="S30" s="48">
        <f t="shared" si="3"/>
        <v>7702.475016</v>
      </c>
      <c r="T30" s="49" t="str">
        <f t="shared" si="4"/>
        <v>MUD</v>
      </c>
      <c r="U30" s="50">
        <f t="shared" si="5"/>
        <v>-0.06803642541</v>
      </c>
      <c r="V30" s="80"/>
      <c r="W30" s="52" t="str">
        <f t="shared" si="6"/>
        <v/>
      </c>
      <c r="X30" s="52"/>
      <c r="Y30" s="80">
        <v>312.0</v>
      </c>
      <c r="Z30" s="39">
        <v>0.001388888888888889</v>
      </c>
      <c r="AA30" s="81" t="s">
        <v>291</v>
      </c>
      <c r="AB30" s="82" t="s">
        <v>292</v>
      </c>
      <c r="AC30" s="54" t="s">
        <v>186</v>
      </c>
      <c r="AD30" s="50"/>
      <c r="AE30" s="83"/>
      <c r="AF30" s="40" t="s">
        <v>161</v>
      </c>
      <c r="AG30" s="40" t="s">
        <v>293</v>
      </c>
      <c r="AH30" s="87">
        <v>7.0</v>
      </c>
      <c r="AI30" s="39"/>
    </row>
    <row r="31" hidden="1" outlineLevel="1">
      <c r="A31" s="58" t="s">
        <v>294</v>
      </c>
      <c r="B31" s="59">
        <v>8357.0</v>
      </c>
      <c r="C31" s="60">
        <v>0.06111111111111111</v>
      </c>
      <c r="D31" s="61">
        <f t="array" ref="D31">IFERROR(INDIRECT("'renta'!G$"&amp;MATCH(T31,renta!$A:$A,0))*0.975-(G31*INDIRECT("'renta'!G$"&amp;MATCH(F31,renta!$A:$A,0)))/B31-IFERROR((J31*INDIRECT("'renta'!G$"&amp;MATCH(I31,renta!$A:$A,0)))/B31,0),)</f>
        <v>-0.0004282496932</v>
      </c>
      <c r="E31" s="41">
        <f t="shared" si="1"/>
        <v>-4.880294572</v>
      </c>
      <c r="F31" s="61" t="s">
        <v>12</v>
      </c>
      <c r="G31" s="62">
        <f t="shared" si="2"/>
        <v>23817.45</v>
      </c>
      <c r="H31" s="63" t="s">
        <v>295</v>
      </c>
      <c r="I31" s="64"/>
      <c r="J31" s="64"/>
      <c r="K31" s="64"/>
      <c r="L31" s="59" t="s">
        <v>137</v>
      </c>
      <c r="M31" s="65">
        <v>1.194</v>
      </c>
      <c r="N31" s="65">
        <v>1.0</v>
      </c>
      <c r="O31" s="66" t="s">
        <v>30</v>
      </c>
      <c r="P31" s="65">
        <v>34.0</v>
      </c>
      <c r="Q31" s="65"/>
      <c r="R31" s="67">
        <f t="array" ref="R31">INDIRECT("'renta'!G$"&amp;MATCH(O31,renta!$A:$A,0))*P31</f>
        <v>1258</v>
      </c>
      <c r="S31" s="68">
        <f t="shared" si="3"/>
        <v>8960.475016</v>
      </c>
      <c r="T31" s="69" t="str">
        <f t="shared" si="4"/>
        <v>MUD</v>
      </c>
      <c r="U31" s="70">
        <f t="shared" si="5"/>
        <v>-0.05940815303</v>
      </c>
      <c r="V31" s="71"/>
      <c r="W31" s="72" t="str">
        <f t="shared" si="6"/>
        <v/>
      </c>
      <c r="X31" s="72"/>
      <c r="Y31" s="71">
        <v>315.0</v>
      </c>
      <c r="Z31" s="60">
        <v>0.001388888888888889</v>
      </c>
      <c r="AA31" s="85" t="s">
        <v>296</v>
      </c>
      <c r="AB31" s="74" t="s">
        <v>297</v>
      </c>
      <c r="AC31" s="75" t="s">
        <v>186</v>
      </c>
      <c r="AD31" s="70"/>
      <c r="AE31" s="76"/>
      <c r="AF31" s="61" t="s">
        <v>161</v>
      </c>
      <c r="AG31" s="61" t="s">
        <v>298</v>
      </c>
      <c r="AH31" s="86">
        <v>7.0</v>
      </c>
      <c r="AI31" s="60"/>
    </row>
    <row r="32" hidden="1" outlineLevel="1">
      <c r="A32" s="78" t="s">
        <v>299</v>
      </c>
      <c r="B32" s="38">
        <v>8675.0</v>
      </c>
      <c r="C32" s="39">
        <v>0.0625</v>
      </c>
      <c r="D32" s="40">
        <f t="array" ref="D32">IFERROR(INDIRECT("'renta'!G$"&amp;MATCH(T32,renta!$A:$A,0))*0.975-(G32*INDIRECT("'renta'!G$"&amp;MATCH(F32,renta!$A:$A,0)))/B32-IFERROR((J32*INDIRECT("'renta'!G$"&amp;MATCH(I32,renta!$A:$A,0)))/B32,0),)</f>
        <v>-0.0004282496933</v>
      </c>
      <c r="E32" s="41">
        <f t="shared" si="1"/>
        <v>-4.953421452</v>
      </c>
      <c r="F32" s="40" t="s">
        <v>12</v>
      </c>
      <c r="G32" s="43">
        <f t="shared" si="2"/>
        <v>24723.75</v>
      </c>
      <c r="H32" s="44" t="s">
        <v>300</v>
      </c>
      <c r="I32" s="79"/>
      <c r="J32" s="79"/>
      <c r="K32" s="79"/>
      <c r="L32" s="38" t="s">
        <v>137</v>
      </c>
      <c r="M32" s="46">
        <v>1.24</v>
      </c>
      <c r="N32" s="46">
        <v>1.0</v>
      </c>
      <c r="O32" s="42" t="s">
        <v>30</v>
      </c>
      <c r="P32" s="46">
        <v>39.0</v>
      </c>
      <c r="Q32" s="46"/>
      <c r="R32" s="47">
        <f t="array" ref="R32">INDIRECT("'renta'!G$"&amp;MATCH(O32,renta!$A:$A,0))*P32</f>
        <v>1443</v>
      </c>
      <c r="S32" s="48">
        <f t="shared" si="3"/>
        <v>10403.47502</v>
      </c>
      <c r="T32" s="49" t="str">
        <f t="shared" si="4"/>
        <v>MUD</v>
      </c>
      <c r="U32" s="50">
        <f t="shared" si="5"/>
        <v>-0.05067697813</v>
      </c>
      <c r="V32" s="80"/>
      <c r="W32" s="52" t="str">
        <f t="shared" si="6"/>
        <v/>
      </c>
      <c r="X32" s="52"/>
      <c r="Y32" s="80">
        <v>318.0</v>
      </c>
      <c r="Z32" s="39">
        <v>0.001388888888888889</v>
      </c>
      <c r="AA32" s="81" t="s">
        <v>301</v>
      </c>
      <c r="AB32" s="82" t="s">
        <v>302</v>
      </c>
      <c r="AC32" s="54" t="s">
        <v>186</v>
      </c>
      <c r="AD32" s="50"/>
      <c r="AE32" s="83"/>
      <c r="AF32" s="40" t="s">
        <v>161</v>
      </c>
      <c r="AG32" s="40" t="s">
        <v>303</v>
      </c>
      <c r="AH32" s="87">
        <v>7.0</v>
      </c>
      <c r="AI32" s="39"/>
    </row>
    <row r="33" hidden="1" outlineLevel="1">
      <c r="A33" s="58" t="s">
        <v>304</v>
      </c>
      <c r="B33" s="59">
        <v>8970.0</v>
      </c>
      <c r="C33" s="60">
        <v>0.06371527777777777</v>
      </c>
      <c r="D33" s="61">
        <f t="array" ref="D33">IFERROR(INDIRECT("'renta'!G$"&amp;MATCH(T33,renta!$A:$A,0))*0.975-(G33*INDIRECT("'renta'!G$"&amp;MATCH(F33,renta!$A:$A,0)))/B33-IFERROR((J33*INDIRECT("'renta'!G$"&amp;MATCH(I33,renta!$A:$A,0)))/B33,0),)</f>
        <v>-0.0004282496933</v>
      </c>
      <c r="E33" s="41">
        <f t="shared" si="1"/>
        <v>-5.024174058</v>
      </c>
      <c r="F33" s="61" t="s">
        <v>12</v>
      </c>
      <c r="G33" s="62">
        <f t="shared" si="2"/>
        <v>25564.5</v>
      </c>
      <c r="H33" s="63" t="s">
        <v>305</v>
      </c>
      <c r="I33" s="64"/>
      <c r="J33" s="64"/>
      <c r="K33" s="64"/>
      <c r="L33" s="59" t="s">
        <v>137</v>
      </c>
      <c r="M33" s="65">
        <v>1.282</v>
      </c>
      <c r="N33" s="65">
        <v>1.0</v>
      </c>
      <c r="O33" s="66" t="s">
        <v>30</v>
      </c>
      <c r="P33" s="65">
        <v>44.0</v>
      </c>
      <c r="Q33" s="65"/>
      <c r="R33" s="67">
        <f t="array" ref="R33">INDIRECT("'renta'!G$"&amp;MATCH(O33,renta!$A:$A,0))*P33</f>
        <v>1628</v>
      </c>
      <c r="S33" s="68">
        <f t="shared" si="3"/>
        <v>12031.47502</v>
      </c>
      <c r="T33" s="69" t="str">
        <f t="shared" si="4"/>
        <v>MUD</v>
      </c>
      <c r="U33" s="70">
        <f t="shared" si="5"/>
        <v>-0.04345983169</v>
      </c>
      <c r="V33" s="71"/>
      <c r="W33" s="72" t="str">
        <f t="shared" si="6"/>
        <v/>
      </c>
      <c r="X33" s="72"/>
      <c r="Y33" s="71">
        <v>295.0</v>
      </c>
      <c r="Z33" s="60">
        <v>0.0012152777777777778</v>
      </c>
      <c r="AA33" s="85" t="s">
        <v>306</v>
      </c>
      <c r="AB33" s="74" t="s">
        <v>307</v>
      </c>
      <c r="AC33" s="75" t="s">
        <v>186</v>
      </c>
      <c r="AD33" s="70"/>
      <c r="AE33" s="76"/>
      <c r="AF33" s="61" t="s">
        <v>161</v>
      </c>
      <c r="AG33" s="61" t="s">
        <v>308</v>
      </c>
      <c r="AH33" s="86">
        <v>7.0</v>
      </c>
      <c r="AI33" s="60"/>
    </row>
    <row r="34" hidden="1" outlineLevel="1">
      <c r="A34" s="78" t="s">
        <v>309</v>
      </c>
      <c r="B34" s="38">
        <v>9268.0</v>
      </c>
      <c r="C34" s="39">
        <v>0.06493055555555556</v>
      </c>
      <c r="D34" s="40">
        <f t="array" ref="D34">IFERROR(INDIRECT("'renta'!G$"&amp;MATCH(T34,renta!$A:$A,0))*0.975-(G34*INDIRECT("'renta'!G$"&amp;MATCH(F34,renta!$A:$A,0)))/B34-IFERROR((J34*INDIRECT("'renta'!G$"&amp;MATCH(I34,renta!$A:$A,0)))/B34,0),)</f>
        <v>-0.0004282496933</v>
      </c>
      <c r="E34" s="41">
        <f t="shared" si="1"/>
        <v>-5.093927046</v>
      </c>
      <c r="F34" s="40" t="s">
        <v>12</v>
      </c>
      <c r="G34" s="43">
        <f t="shared" si="2"/>
        <v>26413.8</v>
      </c>
      <c r="H34" s="44" t="s">
        <v>310</v>
      </c>
      <c r="I34" s="79"/>
      <c r="J34" s="79"/>
      <c r="K34" s="79"/>
      <c r="L34" s="38" t="s">
        <v>137</v>
      </c>
      <c r="M34" s="46">
        <v>1.324</v>
      </c>
      <c r="N34" s="46">
        <v>1.0</v>
      </c>
      <c r="O34" s="42" t="s">
        <v>30</v>
      </c>
      <c r="P34" s="46">
        <v>50.0</v>
      </c>
      <c r="Q34" s="46"/>
      <c r="R34" s="47">
        <f t="array" ref="R34">INDIRECT("'renta'!G$"&amp;MATCH(O34,renta!$A:$A,0))*P34</f>
        <v>1850</v>
      </c>
      <c r="S34" s="48">
        <f t="shared" si="3"/>
        <v>13881.47502</v>
      </c>
      <c r="T34" s="49" t="str">
        <f t="shared" si="4"/>
        <v>MUD</v>
      </c>
      <c r="U34" s="50">
        <f t="shared" si="5"/>
        <v>-0.03770431813</v>
      </c>
      <c r="V34" s="80"/>
      <c r="W34" s="52" t="str">
        <f t="shared" si="6"/>
        <v/>
      </c>
      <c r="X34" s="52"/>
      <c r="Y34" s="80">
        <v>298.0</v>
      </c>
      <c r="Z34" s="39">
        <v>0.0012152777777777778</v>
      </c>
      <c r="AA34" s="81" t="s">
        <v>311</v>
      </c>
      <c r="AB34" s="82" t="s">
        <v>312</v>
      </c>
      <c r="AC34" s="54" t="s">
        <v>186</v>
      </c>
      <c r="AD34" s="50"/>
      <c r="AE34" s="83"/>
      <c r="AF34" s="40" t="s">
        <v>161</v>
      </c>
      <c r="AG34" s="40" t="s">
        <v>313</v>
      </c>
      <c r="AH34" s="87">
        <v>7.0</v>
      </c>
      <c r="AI34" s="39"/>
    </row>
    <row r="35" hidden="1" outlineLevel="1">
      <c r="A35" s="58" t="s">
        <v>314</v>
      </c>
      <c r="B35" s="59">
        <v>9566.0</v>
      </c>
      <c r="C35" s="60">
        <v>0.06614583333333333</v>
      </c>
      <c r="D35" s="61">
        <f t="array" ref="D35">IFERROR(INDIRECT("'renta'!G$"&amp;MATCH(T35,renta!$A:$A,0))*0.975-(G35*INDIRECT("'renta'!G$"&amp;MATCH(F35,renta!$A:$A,0)))/B35-IFERROR((J35*INDIRECT("'renta'!G$"&amp;MATCH(I35,renta!$A:$A,0)))/B35,0),)</f>
        <v>-0.0004282496933</v>
      </c>
      <c r="E35" s="41">
        <f t="shared" si="1"/>
        <v>-5.161116933</v>
      </c>
      <c r="F35" s="61" t="s">
        <v>12</v>
      </c>
      <c r="G35" s="62">
        <f t="shared" si="2"/>
        <v>27263.1</v>
      </c>
      <c r="H35" s="63" t="s">
        <v>315</v>
      </c>
      <c r="I35" s="64"/>
      <c r="J35" s="64"/>
      <c r="K35" s="64"/>
      <c r="L35" s="59" t="s">
        <v>137</v>
      </c>
      <c r="M35" s="65">
        <v>1.367</v>
      </c>
      <c r="N35" s="65">
        <v>1.0</v>
      </c>
      <c r="O35" s="66" t="s">
        <v>30</v>
      </c>
      <c r="P35" s="65">
        <v>56.0</v>
      </c>
      <c r="Q35" s="65"/>
      <c r="R35" s="67">
        <f t="array" ref="R35">INDIRECT("'renta'!G$"&amp;MATCH(O35,renta!$A:$A,0))*P35</f>
        <v>2072</v>
      </c>
      <c r="S35" s="68">
        <f t="shared" si="3"/>
        <v>15953.47502</v>
      </c>
      <c r="T35" s="69" t="str">
        <f t="shared" si="4"/>
        <v>MUD</v>
      </c>
      <c r="U35" s="70">
        <f t="shared" si="5"/>
        <v>-0.03242755145</v>
      </c>
      <c r="V35" s="71"/>
      <c r="W35" s="72" t="str">
        <f t="shared" si="6"/>
        <v/>
      </c>
      <c r="X35" s="72"/>
      <c r="Y35" s="71">
        <v>298.0</v>
      </c>
      <c r="Z35" s="60">
        <v>0.0012037037037037038</v>
      </c>
      <c r="AA35" s="85" t="s">
        <v>316</v>
      </c>
      <c r="AB35" s="74" t="s">
        <v>317</v>
      </c>
      <c r="AC35" s="75" t="s">
        <v>186</v>
      </c>
      <c r="AD35" s="70"/>
      <c r="AE35" s="76"/>
      <c r="AF35" s="61" t="s">
        <v>161</v>
      </c>
      <c r="AG35" s="61" t="s">
        <v>318</v>
      </c>
      <c r="AH35" s="86">
        <v>7.0</v>
      </c>
      <c r="AI35" s="60"/>
    </row>
    <row r="36" hidden="1" outlineLevel="1">
      <c r="A36" s="78" t="s">
        <v>319</v>
      </c>
      <c r="B36" s="38">
        <v>9866.0</v>
      </c>
      <c r="C36" s="39">
        <v>0.06736111111111111</v>
      </c>
      <c r="D36" s="40">
        <f t="array" ref="D36">IFERROR(INDIRECT("'renta'!G$"&amp;MATCH(T36,renta!$A:$A,0))*0.975-(G36*INDIRECT("'renta'!G$"&amp;MATCH(F36,renta!$A:$A,0)))/B36-IFERROR((J36*INDIRECT("'renta'!G$"&amp;MATCH(I36,renta!$A:$A,0)))/B36,0),)</f>
        <v>-0.0004282496933</v>
      </c>
      <c r="E36" s="41">
        <f t="shared" si="1"/>
        <v>-5.226942029</v>
      </c>
      <c r="F36" s="40" t="s">
        <v>12</v>
      </c>
      <c r="G36" s="43">
        <f t="shared" si="2"/>
        <v>28118.1</v>
      </c>
      <c r="H36" s="44" t="s">
        <v>320</v>
      </c>
      <c r="I36" s="79"/>
      <c r="J36" s="79"/>
      <c r="K36" s="79"/>
      <c r="L36" s="38" t="s">
        <v>137</v>
      </c>
      <c r="M36" s="46">
        <v>1.41</v>
      </c>
      <c r="N36" s="46">
        <v>1.0</v>
      </c>
      <c r="O36" s="42" t="s">
        <v>30</v>
      </c>
      <c r="P36" s="46">
        <v>64.0</v>
      </c>
      <c r="Q36" s="46"/>
      <c r="R36" s="47">
        <f t="array" ref="R36">INDIRECT("'renta'!G$"&amp;MATCH(O36,renta!$A:$A,0))*P36</f>
        <v>2368</v>
      </c>
      <c r="S36" s="48">
        <f t="shared" si="3"/>
        <v>18321.47502</v>
      </c>
      <c r="T36" s="49" t="str">
        <f t="shared" si="4"/>
        <v>MUD</v>
      </c>
      <c r="U36" s="50">
        <f t="shared" si="5"/>
        <v>-0.02779776019</v>
      </c>
      <c r="V36" s="80"/>
      <c r="W36" s="52" t="str">
        <f t="shared" si="6"/>
        <v/>
      </c>
      <c r="X36" s="52"/>
      <c r="Y36" s="80">
        <v>300.0</v>
      </c>
      <c r="Z36" s="39">
        <v>0.0012152777777777778</v>
      </c>
      <c r="AA36" s="81" t="s">
        <v>321</v>
      </c>
      <c r="AB36" s="82" t="s">
        <v>322</v>
      </c>
      <c r="AC36" s="54" t="s">
        <v>186</v>
      </c>
      <c r="AD36" s="50"/>
      <c r="AE36" s="83"/>
      <c r="AF36" s="40" t="s">
        <v>161</v>
      </c>
      <c r="AG36" s="40" t="s">
        <v>323</v>
      </c>
      <c r="AH36" s="87">
        <v>7.0</v>
      </c>
      <c r="AI36" s="39"/>
    </row>
    <row r="37" hidden="1" outlineLevel="1">
      <c r="A37" s="58" t="s">
        <v>324</v>
      </c>
      <c r="B37" s="59">
        <v>10168.0</v>
      </c>
      <c r="C37" s="60">
        <v>0.0685763888888889</v>
      </c>
      <c r="D37" s="61">
        <f t="array" ref="D37">IFERROR(INDIRECT("'renta'!G$"&amp;MATCH(T37,renta!$A:$A,0))*0.975-(G37*INDIRECT("'renta'!G$"&amp;MATCH(F37,renta!$A:$A,0)))/B37-IFERROR((J37*INDIRECT("'renta'!G$"&amp;MATCH(I37,renta!$A:$A,0)))/B37,0),)</f>
        <v>-0.0004282496933</v>
      </c>
      <c r="E37" s="41">
        <f t="shared" si="1"/>
        <v>-5.291474893</v>
      </c>
      <c r="F37" s="61" t="s">
        <v>12</v>
      </c>
      <c r="G37" s="62">
        <f t="shared" si="2"/>
        <v>28978.8</v>
      </c>
      <c r="H37" s="63" t="s">
        <v>325</v>
      </c>
      <c r="I37" s="64"/>
      <c r="J37" s="64"/>
      <c r="K37" s="64"/>
      <c r="L37" s="59" t="s">
        <v>137</v>
      </c>
      <c r="M37" s="65">
        <v>1.453</v>
      </c>
      <c r="N37" s="65">
        <v>1.0</v>
      </c>
      <c r="O37" s="66" t="s">
        <v>30</v>
      </c>
      <c r="P37" s="65">
        <v>72.0</v>
      </c>
      <c r="Q37" s="65"/>
      <c r="R37" s="67">
        <f t="array" ref="R37">INDIRECT("'renta'!G$"&amp;MATCH(O37,renta!$A:$A,0))*P37</f>
        <v>2664</v>
      </c>
      <c r="S37" s="68">
        <f t="shared" si="3"/>
        <v>20985.47502</v>
      </c>
      <c r="T37" s="69" t="str">
        <f t="shared" si="4"/>
        <v>MUD</v>
      </c>
      <c r="U37" s="70">
        <f t="shared" si="5"/>
        <v>-0.02422404809</v>
      </c>
      <c r="V37" s="71"/>
      <c r="W37" s="72" t="str">
        <f t="shared" si="6"/>
        <v/>
      </c>
      <c r="X37" s="72"/>
      <c r="Y37" s="71">
        <v>302.0</v>
      </c>
      <c r="Z37" s="60">
        <v>0.0012152777777777778</v>
      </c>
      <c r="AA37" s="85" t="s">
        <v>326</v>
      </c>
      <c r="AB37" s="74" t="s">
        <v>327</v>
      </c>
      <c r="AC37" s="75" t="s">
        <v>186</v>
      </c>
      <c r="AD37" s="70"/>
      <c r="AE37" s="76"/>
      <c r="AF37" s="61" t="s">
        <v>161</v>
      </c>
      <c r="AG37" s="61" t="s">
        <v>328</v>
      </c>
      <c r="AH37" s="86">
        <v>7.0</v>
      </c>
      <c r="AI37" s="60"/>
    </row>
    <row r="38" hidden="1" outlineLevel="1">
      <c r="A38" s="78" t="s">
        <v>329</v>
      </c>
      <c r="B38" s="38">
        <v>10471.0</v>
      </c>
      <c r="C38" s="39">
        <v>0.06979166666666667</v>
      </c>
      <c r="D38" s="40">
        <f t="array" ref="D38">IFERROR(INDIRECT("'renta'!G$"&amp;MATCH(T38,renta!$A:$A,0))*0.975-(G38*INDIRECT("'renta'!G$"&amp;MATCH(F38,renta!$A:$A,0)))/B38-IFERROR((J38*INDIRECT("'renta'!G$"&amp;MATCH(I38,renta!$A:$A,0)))/B38,0),)</f>
        <v>-0.0004282496933</v>
      </c>
      <c r="E38" s="41">
        <f t="shared" si="1"/>
        <v>-5.354271687</v>
      </c>
      <c r="F38" s="40" t="s">
        <v>12</v>
      </c>
      <c r="G38" s="43">
        <f t="shared" si="2"/>
        <v>29842.35</v>
      </c>
      <c r="H38" s="44" t="s">
        <v>330</v>
      </c>
      <c r="I38" s="79"/>
      <c r="J38" s="79"/>
      <c r="K38" s="79"/>
      <c r="L38" s="38" t="s">
        <v>137</v>
      </c>
      <c r="M38" s="46">
        <v>1.496</v>
      </c>
      <c r="N38" s="46">
        <v>1.0</v>
      </c>
      <c r="O38" s="42" t="s">
        <v>30</v>
      </c>
      <c r="P38" s="46">
        <v>81.0</v>
      </c>
      <c r="Q38" s="46"/>
      <c r="R38" s="47">
        <f t="array" ref="R38">INDIRECT("'renta'!G$"&amp;MATCH(O38,renta!$A:$A,0))*P38</f>
        <v>2997</v>
      </c>
      <c r="S38" s="48">
        <f t="shared" si="3"/>
        <v>23982.47502</v>
      </c>
      <c r="T38" s="49" t="str">
        <f t="shared" si="4"/>
        <v>MUD</v>
      </c>
      <c r="U38" s="50">
        <f t="shared" si="5"/>
        <v>-0.02095321784</v>
      </c>
      <c r="V38" s="80"/>
      <c r="W38" s="52" t="str">
        <f t="shared" si="6"/>
        <v/>
      </c>
      <c r="X38" s="52"/>
      <c r="Y38" s="80">
        <v>303.0</v>
      </c>
      <c r="Z38" s="39">
        <v>0.0012152777777777778</v>
      </c>
      <c r="AA38" s="81" t="s">
        <v>331</v>
      </c>
      <c r="AB38" s="82" t="s">
        <v>332</v>
      </c>
      <c r="AC38" s="54" t="s">
        <v>186</v>
      </c>
      <c r="AD38" s="50"/>
      <c r="AE38" s="83"/>
      <c r="AF38" s="40" t="s">
        <v>161</v>
      </c>
      <c r="AG38" s="40" t="s">
        <v>333</v>
      </c>
      <c r="AH38" s="87">
        <v>7.0</v>
      </c>
      <c r="AI38" s="39"/>
    </row>
    <row r="39" hidden="1" outlineLevel="1">
      <c r="A39" s="58" t="s">
        <v>334</v>
      </c>
      <c r="B39" s="59">
        <v>10748.0</v>
      </c>
      <c r="C39" s="60">
        <v>0.07083333333333333</v>
      </c>
      <c r="D39" s="61">
        <f t="array" ref="D39">IFERROR(INDIRECT("'renta'!G$"&amp;MATCH(T39,renta!$A:$A,0))*0.975-(G39*INDIRECT("'renta'!G$"&amp;MATCH(F39,renta!$A:$A,0)))/B39-IFERROR((J39*INDIRECT("'renta'!G$"&amp;MATCH(I39,renta!$A:$A,0)))/B39,0),)</f>
        <v>-0.0004282496933</v>
      </c>
      <c r="E39" s="41">
        <f t="shared" si="1"/>
        <v>-5.415091415</v>
      </c>
      <c r="F39" s="61" t="s">
        <v>12</v>
      </c>
      <c r="G39" s="62">
        <f t="shared" si="2"/>
        <v>30631.8</v>
      </c>
      <c r="H39" s="63" t="s">
        <v>335</v>
      </c>
      <c r="I39" s="64"/>
      <c r="J39" s="64"/>
      <c r="K39" s="64"/>
      <c r="L39" s="59" t="s">
        <v>137</v>
      </c>
      <c r="M39" s="65">
        <v>1.536</v>
      </c>
      <c r="N39" s="65">
        <v>1.0</v>
      </c>
      <c r="O39" s="66" t="s">
        <v>30</v>
      </c>
      <c r="P39" s="65">
        <v>91.0</v>
      </c>
      <c r="Q39" s="65"/>
      <c r="R39" s="67">
        <f t="array" ref="R39">INDIRECT("'renta'!G$"&amp;MATCH(O39,renta!$A:$A,0))*P39</f>
        <v>3367</v>
      </c>
      <c r="S39" s="68">
        <f t="shared" si="3"/>
        <v>27349.47502</v>
      </c>
      <c r="T39" s="69" t="str">
        <f t="shared" si="4"/>
        <v>MUD</v>
      </c>
      <c r="U39" s="70">
        <f t="shared" si="5"/>
        <v>-0.01806347733</v>
      </c>
      <c r="V39" s="71"/>
      <c r="W39" s="72" t="str">
        <f t="shared" si="6"/>
        <v/>
      </c>
      <c r="X39" s="72"/>
      <c r="Y39" s="71">
        <v>277.0</v>
      </c>
      <c r="Z39" s="60">
        <v>0.0010416666666666667</v>
      </c>
      <c r="AA39" s="85" t="s">
        <v>336</v>
      </c>
      <c r="AB39" s="74" t="s">
        <v>337</v>
      </c>
      <c r="AC39" s="75" t="s">
        <v>186</v>
      </c>
      <c r="AD39" s="70"/>
      <c r="AE39" s="76"/>
      <c r="AF39" s="61" t="s">
        <v>161</v>
      </c>
      <c r="AG39" s="61" t="s">
        <v>338</v>
      </c>
      <c r="AH39" s="86">
        <v>7.0</v>
      </c>
      <c r="AI39" s="60"/>
    </row>
    <row r="40" hidden="1" outlineLevel="1">
      <c r="A40" s="78" t="s">
        <v>339</v>
      </c>
      <c r="B40" s="38">
        <v>11026.0</v>
      </c>
      <c r="C40" s="39">
        <v>0.071875</v>
      </c>
      <c r="D40" s="40">
        <f t="array" ref="D40">IFERROR(INDIRECT("'renta'!G$"&amp;MATCH(T40,renta!$A:$A,0))*0.975-(G40*INDIRECT("'renta'!G$"&amp;MATCH(F40,renta!$A:$A,0)))/B40-IFERROR((J40*INDIRECT("'renta'!G$"&amp;MATCH(I40,renta!$A:$A,0)))/B40,0),)</f>
        <v>-0.0004282496932</v>
      </c>
      <c r="E40" s="41">
        <f t="shared" si="1"/>
        <v>-5.474644774</v>
      </c>
      <c r="F40" s="40" t="s">
        <v>12</v>
      </c>
      <c r="G40" s="43">
        <f t="shared" si="2"/>
        <v>31424.1</v>
      </c>
      <c r="H40" s="44" t="s">
        <v>340</v>
      </c>
      <c r="I40" s="79"/>
      <c r="J40" s="79"/>
      <c r="K40" s="79"/>
      <c r="L40" s="38" t="s">
        <v>137</v>
      </c>
      <c r="M40" s="46">
        <v>1.576</v>
      </c>
      <c r="N40" s="46">
        <v>1.0</v>
      </c>
      <c r="O40" s="42" t="s">
        <v>34</v>
      </c>
      <c r="P40" s="46">
        <v>34.0</v>
      </c>
      <c r="Q40" s="46"/>
      <c r="R40" s="47">
        <f t="array" ref="R40">INDIRECT("'renta'!G$"&amp;MATCH(O40,renta!$A:$A,0))*P40</f>
        <v>4511.193202</v>
      </c>
      <c r="S40" s="48">
        <f t="shared" si="3"/>
        <v>31860.66822</v>
      </c>
      <c r="T40" s="49" t="str">
        <f t="shared" si="4"/>
        <v>MUD</v>
      </c>
      <c r="U40" s="50">
        <f t="shared" si="5"/>
        <v>-0.01320124326</v>
      </c>
      <c r="V40" s="80"/>
      <c r="W40" s="52" t="str">
        <f t="shared" si="6"/>
        <v/>
      </c>
      <c r="X40" s="52"/>
      <c r="Y40" s="80">
        <v>278.0</v>
      </c>
      <c r="Z40" s="39">
        <v>0.0010416666666666667</v>
      </c>
      <c r="AA40" s="81" t="s">
        <v>341</v>
      </c>
      <c r="AB40" s="82" t="s">
        <v>342</v>
      </c>
      <c r="AC40" s="54" t="s">
        <v>186</v>
      </c>
      <c r="AD40" s="50"/>
      <c r="AE40" s="83"/>
      <c r="AF40" s="40" t="s">
        <v>161</v>
      </c>
      <c r="AG40" s="40" t="s">
        <v>343</v>
      </c>
      <c r="AH40" s="87">
        <v>7.0</v>
      </c>
      <c r="AI40" s="39"/>
    </row>
    <row r="41" hidden="1" outlineLevel="1">
      <c r="A41" s="58" t="s">
        <v>344</v>
      </c>
      <c r="B41" s="59">
        <v>11306.0</v>
      </c>
      <c r="C41" s="60">
        <v>0.07291666666666667</v>
      </c>
      <c r="D41" s="61">
        <f t="array" ref="D41">IFERROR(INDIRECT("'renta'!G$"&amp;MATCH(T41,renta!$A:$A,0))*0.975-(G41*INDIRECT("'renta'!G$"&amp;MATCH(F41,renta!$A:$A,0)))/B41-IFERROR((J41*INDIRECT("'renta'!G$"&amp;MATCH(I41,renta!$A:$A,0)))/B41,0),)</f>
        <v>-0.0004282496933</v>
      </c>
      <c r="E41" s="41">
        <f t="shared" si="1"/>
        <v>-5.533475465</v>
      </c>
      <c r="F41" s="61" t="s">
        <v>12</v>
      </c>
      <c r="G41" s="62">
        <f t="shared" si="2"/>
        <v>32222.1</v>
      </c>
      <c r="H41" s="63" t="s">
        <v>345</v>
      </c>
      <c r="I41" s="64"/>
      <c r="J41" s="64"/>
      <c r="K41" s="64"/>
      <c r="L41" s="59" t="s">
        <v>137</v>
      </c>
      <c r="M41" s="65">
        <v>1.616</v>
      </c>
      <c r="N41" s="65">
        <v>1.0</v>
      </c>
      <c r="O41" s="66" t="s">
        <v>34</v>
      </c>
      <c r="P41" s="65">
        <v>39.0</v>
      </c>
      <c r="Q41" s="65"/>
      <c r="R41" s="67">
        <f t="array" ref="R41">INDIRECT("'renta'!G$"&amp;MATCH(O41,renta!$A:$A,0))*P41</f>
        <v>5174.603967</v>
      </c>
      <c r="S41" s="68">
        <f t="shared" si="3"/>
        <v>37035.27219</v>
      </c>
      <c r="T41" s="69" t="str">
        <f t="shared" si="4"/>
        <v>MUD</v>
      </c>
      <c r="U41" s="70">
        <f t="shared" si="5"/>
        <v>-0.01136911948</v>
      </c>
      <c r="V41" s="71"/>
      <c r="W41" s="72" t="str">
        <f t="shared" si="6"/>
        <v/>
      </c>
      <c r="X41" s="72"/>
      <c r="Y41" s="71">
        <v>280.0</v>
      </c>
      <c r="Z41" s="60">
        <v>0.0010416666666666667</v>
      </c>
      <c r="AA41" s="85" t="s">
        <v>346</v>
      </c>
      <c r="AB41" s="74" t="s">
        <v>347</v>
      </c>
      <c r="AC41" s="75" t="s">
        <v>186</v>
      </c>
      <c r="AD41" s="70"/>
      <c r="AE41" s="76"/>
      <c r="AF41" s="61" t="s">
        <v>161</v>
      </c>
      <c r="AG41" s="61" t="s">
        <v>348</v>
      </c>
      <c r="AH41" s="86">
        <v>7.0</v>
      </c>
      <c r="AI41" s="60"/>
    </row>
    <row r="42" hidden="1" outlineLevel="1">
      <c r="A42" s="78" t="s">
        <v>349</v>
      </c>
      <c r="B42" s="38">
        <v>11588.0</v>
      </c>
      <c r="C42" s="39">
        <v>0.07394675925925925</v>
      </c>
      <c r="D42" s="40">
        <f t="array" ref="D42">IFERROR(INDIRECT("'renta'!G$"&amp;MATCH(T42,renta!$A:$A,0))*0.975-(G42*INDIRECT("'renta'!G$"&amp;MATCH(F42,renta!$A:$A,0)))/B42-IFERROR((J42*INDIRECT("'renta'!G$"&amp;MATCH(I42,renta!$A:$A,0)))/B42,0),)</f>
        <v>-0.0004282496932</v>
      </c>
      <c r="E42" s="41">
        <f t="shared" si="1"/>
        <v>-5.592489217</v>
      </c>
      <c r="F42" s="40" t="s">
        <v>12</v>
      </c>
      <c r="G42" s="43">
        <f t="shared" si="2"/>
        <v>33025.8</v>
      </c>
      <c r="H42" s="44" t="s">
        <v>350</v>
      </c>
      <c r="I42" s="79"/>
      <c r="J42" s="79"/>
      <c r="K42" s="79"/>
      <c r="L42" s="38" t="s">
        <v>137</v>
      </c>
      <c r="M42" s="46">
        <v>1.656</v>
      </c>
      <c r="N42" s="46">
        <v>1.0</v>
      </c>
      <c r="O42" s="42" t="s">
        <v>34</v>
      </c>
      <c r="P42" s="46">
        <v>43.0</v>
      </c>
      <c r="Q42" s="46"/>
      <c r="R42" s="47">
        <f t="array" ref="R42">INDIRECT("'renta'!G$"&amp;MATCH(O42,renta!$A:$A,0))*P42</f>
        <v>5705.33258</v>
      </c>
      <c r="S42" s="48">
        <f t="shared" si="3"/>
        <v>42740.60477</v>
      </c>
      <c r="T42" s="49" t="str">
        <f t="shared" si="4"/>
        <v>MUD</v>
      </c>
      <c r="U42" s="50">
        <f t="shared" si="5"/>
        <v>-0.01034361294</v>
      </c>
      <c r="V42" s="80"/>
      <c r="W42" s="52" t="str">
        <f t="shared" si="6"/>
        <v/>
      </c>
      <c r="X42" s="52"/>
      <c r="Y42" s="80">
        <v>282.0</v>
      </c>
      <c r="Z42" s="39">
        <v>0.0010416666666666667</v>
      </c>
      <c r="AA42" s="81" t="s">
        <v>351</v>
      </c>
      <c r="AB42" s="82" t="s">
        <v>352</v>
      </c>
      <c r="AC42" s="54" t="s">
        <v>186</v>
      </c>
      <c r="AD42" s="50"/>
      <c r="AE42" s="83"/>
      <c r="AF42" s="40" t="s">
        <v>161</v>
      </c>
      <c r="AG42" s="40" t="s">
        <v>353</v>
      </c>
      <c r="AH42" s="87">
        <v>7.0</v>
      </c>
      <c r="AI42" s="39"/>
    </row>
    <row r="43" hidden="1" outlineLevel="1">
      <c r="A43" s="58" t="s">
        <v>354</v>
      </c>
      <c r="B43" s="59">
        <v>11872.0</v>
      </c>
      <c r="C43" s="60">
        <v>0.075</v>
      </c>
      <c r="D43" s="61">
        <f t="array" ref="D43">IFERROR(INDIRECT("'renta'!G$"&amp;MATCH(T43,renta!$A:$A,0))*0.975-(G43*INDIRECT("'renta'!G$"&amp;MATCH(F43,renta!$A:$A,0)))/B43-IFERROR((J43*INDIRECT("'renta'!G$"&amp;MATCH(I43,renta!$A:$A,0)))/B43,0),)</f>
        <v>-0.0004282496933</v>
      </c>
      <c r="E43" s="41">
        <f t="shared" si="1"/>
        <v>-5.649089287</v>
      </c>
      <c r="F43" s="61" t="s">
        <v>12</v>
      </c>
      <c r="G43" s="62">
        <f t="shared" si="2"/>
        <v>33835.2</v>
      </c>
      <c r="H43" s="63" t="s">
        <v>355</v>
      </c>
      <c r="I43" s="64"/>
      <c r="J43" s="64"/>
      <c r="K43" s="64"/>
      <c r="L43" s="59" t="s">
        <v>137</v>
      </c>
      <c r="M43" s="65">
        <v>1.696</v>
      </c>
      <c r="N43" s="65">
        <v>1.0</v>
      </c>
      <c r="O43" s="66" t="s">
        <v>34</v>
      </c>
      <c r="P43" s="65">
        <v>49.0</v>
      </c>
      <c r="Q43" s="65"/>
      <c r="R43" s="67">
        <f t="array" ref="R43">INDIRECT("'renta'!G$"&amp;MATCH(O43,renta!$A:$A,0))*P43</f>
        <v>6501.425498</v>
      </c>
      <c r="S43" s="68">
        <f t="shared" si="3"/>
        <v>49242.03026</v>
      </c>
      <c r="T43" s="69" t="str">
        <f t="shared" si="4"/>
        <v>MUD</v>
      </c>
      <c r="U43" s="70">
        <f t="shared" si="5"/>
        <v>-0.008705793843</v>
      </c>
      <c r="V43" s="71"/>
      <c r="W43" s="72" t="str">
        <f t="shared" si="6"/>
        <v/>
      </c>
      <c r="X43" s="72"/>
      <c r="Y43" s="71">
        <v>284.0</v>
      </c>
      <c r="Z43" s="60">
        <v>0.0010416666666666667</v>
      </c>
      <c r="AA43" s="85" t="s">
        <v>356</v>
      </c>
      <c r="AB43" s="74" t="s">
        <v>357</v>
      </c>
      <c r="AC43" s="75" t="s">
        <v>186</v>
      </c>
      <c r="AD43" s="70"/>
      <c r="AE43" s="76"/>
      <c r="AF43" s="61" t="s">
        <v>161</v>
      </c>
      <c r="AG43" s="61" t="s">
        <v>358</v>
      </c>
      <c r="AH43" s="86">
        <v>7.0</v>
      </c>
      <c r="AI43" s="60"/>
    </row>
    <row r="44" hidden="1" outlineLevel="1">
      <c r="A44" s="78" t="s">
        <v>359</v>
      </c>
      <c r="B44" s="38">
        <v>12159.0</v>
      </c>
      <c r="C44" s="39">
        <v>0.07604166666666666</v>
      </c>
      <c r="D44" s="40">
        <f t="array" ref="D44">IFERROR(INDIRECT("'renta'!G$"&amp;MATCH(T44,renta!$A:$A,0))*0.975-(G44*INDIRECT("'renta'!G$"&amp;MATCH(F44,renta!$A:$A,0)))/B44-IFERROR((J44*INDIRECT("'renta'!G$"&amp;MATCH(I44,renta!$A:$A,0)))/B44,0),)</f>
        <v>-0.0004282496933</v>
      </c>
      <c r="E44" s="41">
        <f t="shared" si="1"/>
        <v>-5.70639783</v>
      </c>
      <c r="F44" s="40" t="s">
        <v>12</v>
      </c>
      <c r="G44" s="43">
        <f t="shared" si="2"/>
        <v>34653.15</v>
      </c>
      <c r="H44" s="44" t="s">
        <v>360</v>
      </c>
      <c r="I44" s="79"/>
      <c r="J44" s="79"/>
      <c r="K44" s="79"/>
      <c r="L44" s="38" t="s">
        <v>137</v>
      </c>
      <c r="M44" s="46">
        <v>1.737</v>
      </c>
      <c r="N44" s="46">
        <v>1.0</v>
      </c>
      <c r="O44" s="42" t="s">
        <v>34</v>
      </c>
      <c r="P44" s="46">
        <v>55.0</v>
      </c>
      <c r="Q44" s="46"/>
      <c r="R44" s="47">
        <f t="array" ref="R44">INDIRECT("'renta'!G$"&amp;MATCH(O44,renta!$A:$A,0))*P44</f>
        <v>7297.518416</v>
      </c>
      <c r="S44" s="48">
        <f t="shared" si="3"/>
        <v>56539.54868</v>
      </c>
      <c r="T44" s="49" t="str">
        <f t="shared" si="4"/>
        <v>MUD</v>
      </c>
      <c r="U44" s="50">
        <f t="shared" si="5"/>
        <v>-0.007853155026</v>
      </c>
      <c r="V44" s="80"/>
      <c r="W44" s="52" t="str">
        <f t="shared" si="6"/>
        <v/>
      </c>
      <c r="X44" s="52"/>
      <c r="Y44" s="80">
        <v>287.0</v>
      </c>
      <c r="Z44" s="39">
        <v>0.0010532407407407407</v>
      </c>
      <c r="AA44" s="53">
        <v>0.01</v>
      </c>
      <c r="AB44" s="82" t="s">
        <v>361</v>
      </c>
      <c r="AC44" s="54" t="s">
        <v>186</v>
      </c>
      <c r="AD44" s="50"/>
      <c r="AE44" s="83"/>
      <c r="AF44" s="40" t="s">
        <v>161</v>
      </c>
      <c r="AG44" s="40" t="s">
        <v>362</v>
      </c>
      <c r="AH44" s="87">
        <v>7.0</v>
      </c>
      <c r="AI44" s="39"/>
    </row>
    <row r="45" hidden="1" outlineLevel="1">
      <c r="A45" s="58" t="s">
        <v>363</v>
      </c>
      <c r="B45" s="59">
        <v>12444.0</v>
      </c>
      <c r="C45" s="60">
        <v>0.07707175925925926</v>
      </c>
      <c r="D45" s="61">
        <f t="array" ref="D45">IFERROR(INDIRECT("'renta'!G$"&amp;MATCH(T45,renta!$A:$A,0))*0.975-(G45*INDIRECT("'renta'!G$"&amp;MATCH(F45,renta!$A:$A,0)))/B45-IFERROR((J45*INDIRECT("'renta'!G$"&amp;MATCH(I45,renta!$A:$A,0)))/B45,0),)</f>
        <v>-0.0004282496933</v>
      </c>
      <c r="E45" s="41">
        <f t="shared" si="1"/>
        <v>-5.762096729</v>
      </c>
      <c r="F45" s="61" t="s">
        <v>12</v>
      </c>
      <c r="G45" s="62">
        <f t="shared" si="2"/>
        <v>35465.4</v>
      </c>
      <c r="H45" s="63" t="s">
        <v>364</v>
      </c>
      <c r="I45" s="64"/>
      <c r="J45" s="64"/>
      <c r="K45" s="64"/>
      <c r="L45" s="59" t="s">
        <v>137</v>
      </c>
      <c r="M45" s="65">
        <v>1.778</v>
      </c>
      <c r="N45" s="65">
        <v>1.0</v>
      </c>
      <c r="O45" s="66" t="s">
        <v>34</v>
      </c>
      <c r="P45" s="65">
        <v>62.0</v>
      </c>
      <c r="Q45" s="65"/>
      <c r="R45" s="67">
        <f t="array" ref="R45">INDIRECT("'renta'!G$"&amp;MATCH(O45,renta!$A:$A,0))*P45</f>
        <v>8226.293487</v>
      </c>
      <c r="S45" s="68">
        <f t="shared" si="3"/>
        <v>64765.84217</v>
      </c>
      <c r="T45" s="69" t="str">
        <f t="shared" si="4"/>
        <v>MUD</v>
      </c>
      <c r="U45" s="70">
        <f t="shared" si="5"/>
        <v>-0.006770837725</v>
      </c>
      <c r="V45" s="71"/>
      <c r="W45" s="72" t="str">
        <f t="shared" si="6"/>
        <v/>
      </c>
      <c r="X45" s="72"/>
      <c r="Y45" s="71">
        <v>285.0</v>
      </c>
      <c r="Z45" s="60">
        <v>0.0010300925925925926</v>
      </c>
      <c r="AA45" s="85" t="s">
        <v>365</v>
      </c>
      <c r="AB45" s="74" t="s">
        <v>366</v>
      </c>
      <c r="AC45" s="75" t="s">
        <v>186</v>
      </c>
      <c r="AD45" s="70"/>
      <c r="AE45" s="76"/>
      <c r="AF45" s="61" t="s">
        <v>161</v>
      </c>
      <c r="AG45" s="61" t="s">
        <v>367</v>
      </c>
      <c r="AH45" s="86">
        <v>7.0</v>
      </c>
      <c r="AI45" s="60"/>
    </row>
    <row r="46" hidden="1" outlineLevel="1">
      <c r="A46" s="78" t="s">
        <v>368</v>
      </c>
      <c r="B46" s="38">
        <v>12733.0</v>
      </c>
      <c r="C46" s="39">
        <v>0.078125</v>
      </c>
      <c r="D46" s="40">
        <f t="array" ref="D46">IFERROR(INDIRECT("'renta'!G$"&amp;MATCH(T46,renta!$A:$A,0))*0.975-(G46*INDIRECT("'renta'!G$"&amp;MATCH(F46,renta!$A:$A,0)))/B46-IFERROR((J46*INDIRECT("'renta'!G$"&amp;MATCH(I46,renta!$A:$A,0)))/B46,0),)</f>
        <v>-0.0004282496932</v>
      </c>
      <c r="E46" s="41">
        <f t="shared" si="1"/>
        <v>-5.816430234</v>
      </c>
      <c r="F46" s="40" t="s">
        <v>12</v>
      </c>
      <c r="G46" s="43">
        <f t="shared" si="2"/>
        <v>36289.05</v>
      </c>
      <c r="H46" s="44" t="s">
        <v>369</v>
      </c>
      <c r="I46" s="79"/>
      <c r="J46" s="79"/>
      <c r="K46" s="79"/>
      <c r="L46" s="38" t="s">
        <v>137</v>
      </c>
      <c r="M46" s="46">
        <v>1.819</v>
      </c>
      <c r="N46" s="46">
        <v>1.0</v>
      </c>
      <c r="O46" s="42" t="s">
        <v>34</v>
      </c>
      <c r="P46" s="46">
        <v>69.0</v>
      </c>
      <c r="Q46" s="46"/>
      <c r="R46" s="47">
        <f t="array" ref="R46">INDIRECT("'renta'!G$"&amp;MATCH(O46,renta!$A:$A,0))*P46</f>
        <v>9155.068558</v>
      </c>
      <c r="S46" s="48">
        <f t="shared" si="3"/>
        <v>73920.91072</v>
      </c>
      <c r="T46" s="49" t="str">
        <f t="shared" si="4"/>
        <v>MUD</v>
      </c>
      <c r="U46" s="50">
        <f t="shared" si="5"/>
        <v>-0.005934800461</v>
      </c>
      <c r="V46" s="80"/>
      <c r="W46" s="52" t="str">
        <f t="shared" si="6"/>
        <v/>
      </c>
      <c r="X46" s="52"/>
      <c r="Y46" s="80">
        <v>289.0</v>
      </c>
      <c r="Z46" s="39">
        <v>0.0010416666666666667</v>
      </c>
      <c r="AA46" s="81" t="s">
        <v>370</v>
      </c>
      <c r="AB46" s="82" t="s">
        <v>371</v>
      </c>
      <c r="AC46" s="54" t="s">
        <v>186</v>
      </c>
      <c r="AD46" s="50"/>
      <c r="AE46" s="83"/>
      <c r="AF46" s="40" t="s">
        <v>161</v>
      </c>
      <c r="AG46" s="40" t="s">
        <v>372</v>
      </c>
      <c r="AH46" s="87">
        <v>7.0</v>
      </c>
      <c r="AI46" s="39"/>
    </row>
    <row r="47" hidden="1" outlineLevel="1">
      <c r="A47" s="58" t="s">
        <v>373</v>
      </c>
      <c r="B47" s="59">
        <v>13023.0</v>
      </c>
      <c r="C47" s="60">
        <v>0.07916666666666666</v>
      </c>
      <c r="D47" s="61">
        <f t="array" ref="D47">IFERROR(INDIRECT("'renta'!G$"&amp;MATCH(T47,renta!$A:$A,0))*0.975-(G47*INDIRECT("'renta'!G$"&amp;MATCH(F47,renta!$A:$A,0)))/B47-IFERROR((J47*INDIRECT("'renta'!G$"&amp;MATCH(I47,renta!$A:$A,0)))/B47,0),)</f>
        <v>-0.0004282496932</v>
      </c>
      <c r="E47" s="41">
        <f t="shared" si="1"/>
        <v>-5.870627111</v>
      </c>
      <c r="F47" s="61" t="s">
        <v>12</v>
      </c>
      <c r="G47" s="62">
        <f t="shared" si="2"/>
        <v>37115.55</v>
      </c>
      <c r="H47" s="63" t="s">
        <v>374</v>
      </c>
      <c r="I47" s="64"/>
      <c r="J47" s="64"/>
      <c r="K47" s="64"/>
      <c r="L47" s="59" t="s">
        <v>137</v>
      </c>
      <c r="M47" s="65">
        <v>1.861</v>
      </c>
      <c r="N47" s="65">
        <v>1.0</v>
      </c>
      <c r="O47" s="66" t="s">
        <v>34</v>
      </c>
      <c r="P47" s="65">
        <v>78.0</v>
      </c>
      <c r="Q47" s="65"/>
      <c r="R47" s="67">
        <f t="array" ref="R47">INDIRECT("'renta'!G$"&amp;MATCH(O47,renta!$A:$A,0))*P47</f>
        <v>10349.20793</v>
      </c>
      <c r="S47" s="68">
        <f t="shared" si="3"/>
        <v>84270.11866</v>
      </c>
      <c r="T47" s="69" t="str">
        <f t="shared" si="4"/>
        <v>MUD</v>
      </c>
      <c r="U47" s="70">
        <f t="shared" si="5"/>
        <v>-0.005236813997</v>
      </c>
      <c r="V47" s="71"/>
      <c r="W47" s="72" t="str">
        <f t="shared" si="6"/>
        <v/>
      </c>
      <c r="X47" s="72"/>
      <c r="Y47" s="71">
        <v>290.0</v>
      </c>
      <c r="Z47" s="60">
        <v>0.0010416666666666667</v>
      </c>
      <c r="AA47" s="85" t="s">
        <v>375</v>
      </c>
      <c r="AB47" s="74" t="s">
        <v>376</v>
      </c>
      <c r="AC47" s="75" t="s">
        <v>186</v>
      </c>
      <c r="AD47" s="70"/>
      <c r="AE47" s="76"/>
      <c r="AF47" s="61" t="s">
        <v>161</v>
      </c>
      <c r="AG47" s="61" t="s">
        <v>377</v>
      </c>
      <c r="AH47" s="86">
        <v>7.0</v>
      </c>
      <c r="AI47" s="60"/>
    </row>
    <row r="48" hidden="1" outlineLevel="1">
      <c r="A48" s="78" t="s">
        <v>378</v>
      </c>
      <c r="B48" s="38">
        <v>13314.0</v>
      </c>
      <c r="C48" s="39">
        <v>0.08020833333333334</v>
      </c>
      <c r="D48" s="40">
        <f t="array" ref="D48">IFERROR(INDIRECT("'renta'!G$"&amp;MATCH(T48,renta!$A:$A,0))*0.975-(G48*INDIRECT("'renta'!G$"&amp;MATCH(F48,renta!$A:$A,0)))/B48-IFERROR((J48*INDIRECT("'renta'!G$"&amp;MATCH(I48,renta!$A:$A,0)))/B48,0),)</f>
        <v>-0.0004282496933</v>
      </c>
      <c r="E48" s="41">
        <f t="shared" si="1"/>
        <v>-5.923861211</v>
      </c>
      <c r="F48" s="40" t="s">
        <v>12</v>
      </c>
      <c r="G48" s="43">
        <f t="shared" si="2"/>
        <v>37944.9</v>
      </c>
      <c r="H48" s="44" t="s">
        <v>379</v>
      </c>
      <c r="I48" s="79"/>
      <c r="J48" s="79"/>
      <c r="K48" s="79"/>
      <c r="L48" s="38" t="s">
        <v>137</v>
      </c>
      <c r="M48" s="46">
        <v>1.902</v>
      </c>
      <c r="N48" s="46">
        <v>1.0</v>
      </c>
      <c r="O48" s="42" t="s">
        <v>34</v>
      </c>
      <c r="P48" s="46">
        <v>87.0</v>
      </c>
      <c r="Q48" s="46"/>
      <c r="R48" s="47">
        <f t="array" ref="R48">INDIRECT("'renta'!G$"&amp;MATCH(O48,renta!$A:$A,0))*P48</f>
        <v>11543.34731</v>
      </c>
      <c r="S48" s="48">
        <f t="shared" si="3"/>
        <v>95813.46597</v>
      </c>
      <c r="T48" s="49" t="str">
        <f t="shared" si="4"/>
        <v>MUD</v>
      </c>
      <c r="U48" s="50">
        <f t="shared" si="5"/>
        <v>-0.004611669318</v>
      </c>
      <c r="V48" s="80"/>
      <c r="W48" s="52" t="str">
        <f t="shared" si="6"/>
        <v/>
      </c>
      <c r="X48" s="52"/>
      <c r="Y48" s="80">
        <v>291.0</v>
      </c>
      <c r="Z48" s="39">
        <v>0.0010416666666666667</v>
      </c>
      <c r="AA48" s="81" t="s">
        <v>380</v>
      </c>
      <c r="AB48" s="82" t="s">
        <v>381</v>
      </c>
      <c r="AC48" s="54" t="s">
        <v>186</v>
      </c>
      <c r="AD48" s="50"/>
      <c r="AE48" s="83"/>
      <c r="AF48" s="40" t="s">
        <v>161</v>
      </c>
      <c r="AG48" s="40" t="s">
        <v>382</v>
      </c>
      <c r="AH48" s="87">
        <v>7.0</v>
      </c>
      <c r="AI48" s="39"/>
    </row>
    <row r="49" hidden="1" outlineLevel="1">
      <c r="A49" s="58" t="s">
        <v>383</v>
      </c>
      <c r="B49" s="59">
        <v>13605.0</v>
      </c>
      <c r="C49" s="60">
        <v>0.08125</v>
      </c>
      <c r="D49" s="61">
        <f t="array" ref="D49">IFERROR(INDIRECT("'renta'!G$"&amp;MATCH(T49,renta!$A:$A,0))*0.975-(G49*INDIRECT("'renta'!G$"&amp;MATCH(F49,renta!$A:$A,0)))/B49-IFERROR((J49*INDIRECT("'renta'!G$"&amp;MATCH(I49,renta!$A:$A,0)))/B49,0),)</f>
        <v>-0.0004282496933</v>
      </c>
      <c r="E49" s="41">
        <f t="shared" si="1"/>
        <v>-5.975730335</v>
      </c>
      <c r="F49" s="61" t="s">
        <v>12</v>
      </c>
      <c r="G49" s="62">
        <f t="shared" si="2"/>
        <v>38774.25</v>
      </c>
      <c r="H49" s="63" t="s">
        <v>384</v>
      </c>
      <c r="I49" s="64"/>
      <c r="J49" s="64"/>
      <c r="K49" s="64"/>
      <c r="L49" s="59" t="s">
        <v>137</v>
      </c>
      <c r="M49" s="65">
        <v>1.944</v>
      </c>
      <c r="N49" s="65">
        <v>1.0</v>
      </c>
      <c r="O49" s="66" t="s">
        <v>34</v>
      </c>
      <c r="P49" s="65">
        <v>100.0</v>
      </c>
      <c r="Q49" s="65"/>
      <c r="R49" s="67">
        <f t="array" ref="R49">INDIRECT("'renta'!G$"&amp;MATCH(O49,renta!$A:$A,0))*P49</f>
        <v>13268.2153</v>
      </c>
      <c r="S49" s="68">
        <f t="shared" si="3"/>
        <v>109081.6813</v>
      </c>
      <c r="T49" s="69" t="str">
        <f t="shared" si="4"/>
        <v>MUD</v>
      </c>
      <c r="U49" s="70">
        <f t="shared" si="5"/>
        <v>-0.003909276606</v>
      </c>
      <c r="V49" s="71"/>
      <c r="W49" s="72" t="str">
        <f t="shared" si="6"/>
        <v/>
      </c>
      <c r="X49" s="72"/>
      <c r="Y49" s="71">
        <v>291.0</v>
      </c>
      <c r="Z49" s="60">
        <v>0.0010416666666666667</v>
      </c>
      <c r="AA49" s="85" t="s">
        <v>385</v>
      </c>
      <c r="AB49" s="74" t="s">
        <v>386</v>
      </c>
      <c r="AC49" s="75" t="s">
        <v>186</v>
      </c>
      <c r="AD49" s="70"/>
      <c r="AE49" s="76"/>
      <c r="AF49" s="61" t="s">
        <v>161</v>
      </c>
      <c r="AG49" s="61" t="s">
        <v>387</v>
      </c>
      <c r="AH49" s="86">
        <v>7.0</v>
      </c>
      <c r="AI49" s="60"/>
    </row>
    <row r="50" hidden="1" outlineLevel="1">
      <c r="A50" s="78" t="s">
        <v>388</v>
      </c>
      <c r="B50" s="38">
        <v>13897.0</v>
      </c>
      <c r="C50" s="39">
        <v>0.08229166666666667</v>
      </c>
      <c r="D50" s="40">
        <f t="array" ref="D50">IFERROR(INDIRECT("'renta'!G$"&amp;MATCH(T50,renta!$A:$A,0))*0.975-(G50*INDIRECT("'renta'!G$"&amp;MATCH(F50,renta!$A:$A,0)))/B50-IFERROR((J50*INDIRECT("'renta'!G$"&amp;MATCH(I50,renta!$A:$A,0)))/B50,0),)</f>
        <v>-0.0004282496933</v>
      </c>
      <c r="E50" s="41">
        <f t="shared" si="1"/>
        <v>-6.026719987</v>
      </c>
      <c r="F50" s="40" t="s">
        <v>12</v>
      </c>
      <c r="G50" s="43">
        <f t="shared" si="2"/>
        <v>39606.45</v>
      </c>
      <c r="H50" s="44" t="s">
        <v>389</v>
      </c>
      <c r="I50" s="79"/>
      <c r="J50" s="79"/>
      <c r="K50" s="79"/>
      <c r="L50" s="38" t="s">
        <v>137</v>
      </c>
      <c r="M50" s="46">
        <v>1.986</v>
      </c>
      <c r="N50" s="46">
        <v>1.0</v>
      </c>
      <c r="O50" s="42" t="s">
        <v>34</v>
      </c>
      <c r="P50" s="46">
        <v>120.0</v>
      </c>
      <c r="Q50" s="46"/>
      <c r="R50" s="47">
        <f t="array" ref="R50">INDIRECT("'renta'!G$"&amp;MATCH(O50,renta!$A:$A,0))*P50</f>
        <v>15921.85836</v>
      </c>
      <c r="S50" s="48">
        <f t="shared" si="3"/>
        <v>125003.5396</v>
      </c>
      <c r="T50" s="49" t="str">
        <f t="shared" si="4"/>
        <v>MUD</v>
      </c>
      <c r="U50" s="50">
        <f t="shared" si="5"/>
        <v>-0.00320249375</v>
      </c>
      <c r="V50" s="80"/>
      <c r="W50" s="52" t="str">
        <f t="shared" si="6"/>
        <v/>
      </c>
      <c r="X50" s="52"/>
      <c r="Y50" s="80">
        <v>292.0</v>
      </c>
      <c r="Z50" s="39">
        <v>0.0010416666666666667</v>
      </c>
      <c r="AA50" s="81" t="s">
        <v>390</v>
      </c>
      <c r="AB50" s="82" t="s">
        <v>391</v>
      </c>
      <c r="AC50" s="54" t="s">
        <v>186</v>
      </c>
      <c r="AD50" s="50"/>
      <c r="AE50" s="83"/>
      <c r="AF50" s="40" t="s">
        <v>161</v>
      </c>
      <c r="AG50" s="40" t="s">
        <v>392</v>
      </c>
      <c r="AH50" s="87">
        <v>7.0</v>
      </c>
      <c r="AI50" s="39"/>
    </row>
    <row r="51" hidden="1" outlineLevel="1">
      <c r="A51" s="58" t="s">
        <v>393</v>
      </c>
      <c r="B51" s="59">
        <v>14192.0</v>
      </c>
      <c r="C51" s="60">
        <v>0.08333333333333333</v>
      </c>
      <c r="D51" s="61">
        <f t="array" ref="D51">IFERROR(INDIRECT("'renta'!G$"&amp;MATCH(T51,renta!$A:$A,0))*0.975-(G51*INDIRECT("'renta'!G$"&amp;MATCH(F51,renta!$A:$A,0)))/B51-IFERROR((J51*INDIRECT("'renta'!G$"&amp;MATCH(I51,renta!$A:$A,0)))/B51,0),)</f>
        <v>-0.0004282496932</v>
      </c>
      <c r="E51" s="41">
        <f t="shared" si="1"/>
        <v>-6.077719647</v>
      </c>
      <c r="F51" s="61" t="s">
        <v>12</v>
      </c>
      <c r="G51" s="62">
        <f t="shared" si="2"/>
        <v>40447.2</v>
      </c>
      <c r="H51" s="63" t="s">
        <v>394</v>
      </c>
      <c r="I51" s="64"/>
      <c r="J51" s="64"/>
      <c r="K51" s="64"/>
      <c r="L51" s="59" t="s">
        <v>137</v>
      </c>
      <c r="M51" s="65">
        <v>2.028</v>
      </c>
      <c r="N51" s="65">
        <v>1.0</v>
      </c>
      <c r="O51" s="66" t="s">
        <v>34</v>
      </c>
      <c r="P51" s="65">
        <v>150.0</v>
      </c>
      <c r="Q51" s="65"/>
      <c r="R51" s="67">
        <f t="array" ref="R51">INDIRECT("'renta'!G$"&amp;MATCH(O51,renta!$A:$A,0))*P51</f>
        <v>19902.32295</v>
      </c>
      <c r="S51" s="68">
        <f t="shared" si="3"/>
        <v>144905.8626</v>
      </c>
      <c r="T51" s="69" t="str">
        <f t="shared" si="4"/>
        <v>MUD</v>
      </c>
      <c r="U51" s="70">
        <f t="shared" si="5"/>
        <v>-0.002562497845</v>
      </c>
      <c r="V51" s="71"/>
      <c r="W51" s="72" t="str">
        <f t="shared" si="6"/>
        <v/>
      </c>
      <c r="X51" s="72"/>
      <c r="Y51" s="71">
        <v>295.0</v>
      </c>
      <c r="Z51" s="60">
        <v>0.0010416666666666667</v>
      </c>
      <c r="AA51" s="85" t="s">
        <v>390</v>
      </c>
      <c r="AB51" s="74" t="s">
        <v>395</v>
      </c>
      <c r="AC51" s="75" t="s">
        <v>186</v>
      </c>
      <c r="AD51" s="70"/>
      <c r="AE51" s="76"/>
      <c r="AF51" s="61" t="s">
        <v>161</v>
      </c>
      <c r="AG51" s="61" t="s">
        <v>396</v>
      </c>
      <c r="AH51" s="86">
        <v>7.0</v>
      </c>
      <c r="AI51" s="60"/>
    </row>
    <row r="52" hidden="1" outlineLevel="1">
      <c r="A52" s="88"/>
      <c r="B52" s="89"/>
      <c r="C52" s="90"/>
      <c r="D52" s="40" t="str">
        <f t="array" ref="D52">IFERROR(INDIRECT("'renta'!G$"&amp;MATCH(T52,renta!$A:$A,0))*0.975-(G52*INDIRECT("'renta'!G$"&amp;MATCH(F52,renta!$A:$A,0)))/B52-IFERROR((J52*INDIRECT("'renta'!G$"&amp;MATCH(I52,renta!$A:$A,0)))/B52,0),)</f>
        <v/>
      </c>
      <c r="E52" s="41">
        <f t="shared" si="1"/>
        <v>0</v>
      </c>
      <c r="F52" s="79"/>
      <c r="G52" s="43">
        <f t="shared" si="2"/>
        <v>0</v>
      </c>
      <c r="H52" s="91"/>
      <c r="I52" s="79"/>
      <c r="J52" s="79"/>
      <c r="K52" s="79"/>
      <c r="L52" s="92"/>
      <c r="M52" s="93"/>
      <c r="N52" s="93"/>
      <c r="O52" s="45"/>
      <c r="P52" s="93"/>
      <c r="Q52" s="93"/>
      <c r="R52" s="47"/>
      <c r="S52" s="48"/>
      <c r="T52" s="49" t="str">
        <f t="shared" si="4"/>
        <v/>
      </c>
      <c r="U52" s="50" t="str">
        <f t="shared" si="5"/>
        <v>#DIV/0!</v>
      </c>
      <c r="V52" s="94"/>
      <c r="W52" s="52" t="str">
        <f t="shared" si="6"/>
        <v/>
      </c>
      <c r="X52" s="52"/>
      <c r="Y52" s="94"/>
      <c r="Z52" s="90"/>
      <c r="AA52" s="95"/>
      <c r="AB52" s="50"/>
      <c r="AC52" s="83"/>
      <c r="AD52" s="50"/>
      <c r="AE52" s="83"/>
      <c r="AF52" s="79"/>
      <c r="AG52" s="79"/>
      <c r="AH52" s="84"/>
      <c r="AI52" s="90"/>
    </row>
    <row r="53" hidden="1" outlineLevel="1">
      <c r="A53" s="58" t="s">
        <v>397</v>
      </c>
      <c r="B53" s="59">
        <v>1.0</v>
      </c>
      <c r="C53" s="60">
        <v>3.4722222222222224E-4</v>
      </c>
      <c r="D53" s="61">
        <f t="array" ref="D53">IFERROR(INDIRECT("'renta'!G$"&amp;MATCH(T53,renta!$A:$A,0))*0.975-(G53*INDIRECT("'renta'!G$"&amp;MATCH(F53,renta!$A:$A,0)))/B53-IFERROR((J53*INDIRECT("'renta'!G$"&amp;MATCH(I53,renta!$A:$A,0)))/B53,0),)</f>
        <v>0.007318843165</v>
      </c>
      <c r="E53" s="41">
        <f t="shared" si="1"/>
        <v>1.75652236</v>
      </c>
      <c r="F53" s="61" t="s">
        <v>18</v>
      </c>
      <c r="G53" s="62">
        <f t="shared" si="2"/>
        <v>9.5</v>
      </c>
      <c r="H53" s="63" t="s">
        <v>398</v>
      </c>
      <c r="I53" s="64"/>
      <c r="J53" s="64"/>
      <c r="K53" s="64"/>
      <c r="L53" s="59" t="s">
        <v>137</v>
      </c>
      <c r="M53" s="65">
        <v>0.0</v>
      </c>
      <c r="N53" s="65">
        <v>25.0</v>
      </c>
      <c r="O53" s="66" t="s">
        <v>12</v>
      </c>
      <c r="P53" s="65">
        <v>1.0</v>
      </c>
      <c r="Q53" s="65"/>
      <c r="R53" s="67">
        <f t="array" ref="R53">INDIRECT("'renta'!G$"&amp;MATCH(O53,renta!$A:$A,0))*P53</f>
        <v>0.0041</v>
      </c>
      <c r="S53" s="68">
        <f t="shared" ref="S53:S92" si="7">SUM(R$53:R53)</f>
        <v>0.0041</v>
      </c>
      <c r="T53" s="69" t="str">
        <f t="shared" si="4"/>
        <v>CLAY</v>
      </c>
      <c r="U53" s="70">
        <f t="shared" si="5"/>
        <v>428420.0877</v>
      </c>
      <c r="V53" s="71"/>
      <c r="W53" s="72" t="str">
        <f t="shared" si="6"/>
        <v/>
      </c>
      <c r="X53" s="72"/>
      <c r="Y53" s="71">
        <v>0.0</v>
      </c>
      <c r="Z53" s="60">
        <v>0.0</v>
      </c>
      <c r="AA53" s="73">
        <v>0.0</v>
      </c>
      <c r="AB53" s="74" t="s">
        <v>140</v>
      </c>
      <c r="AC53" s="75" t="s">
        <v>142</v>
      </c>
      <c r="AD53" s="70"/>
      <c r="AE53" s="76"/>
      <c r="AF53" s="61" t="s">
        <v>141</v>
      </c>
      <c r="AG53" s="61" t="s">
        <v>399</v>
      </c>
      <c r="AH53" s="77"/>
      <c r="AI53" s="60"/>
    </row>
    <row r="54" hidden="1" outlineLevel="1">
      <c r="A54" s="78" t="s">
        <v>400</v>
      </c>
      <c r="B54" s="38">
        <v>2.0</v>
      </c>
      <c r="C54" s="39">
        <v>3.4722222222222224E-4</v>
      </c>
      <c r="D54" s="40">
        <f t="array" ref="D54">IFERROR(INDIRECT("'renta'!G$"&amp;MATCH(T54,renta!$A:$A,0))*0.975-(G54*INDIRECT("'renta'!G$"&amp;MATCH(F54,renta!$A:$A,0)))/B54-IFERROR((J54*INDIRECT("'renta'!G$"&amp;MATCH(I54,renta!$A:$A,0)))/B54,0),)</f>
        <v>0.007318843165</v>
      </c>
      <c r="E54" s="41">
        <f t="shared" si="1"/>
        <v>3.513044719</v>
      </c>
      <c r="F54" s="40" t="s">
        <v>18</v>
      </c>
      <c r="G54" s="43">
        <f t="shared" si="2"/>
        <v>19</v>
      </c>
      <c r="H54" s="44" t="s">
        <v>401</v>
      </c>
      <c r="I54" s="79"/>
      <c r="J54" s="79"/>
      <c r="K54" s="79"/>
      <c r="L54" s="38" t="s">
        <v>137</v>
      </c>
      <c r="M54" s="46">
        <v>0.0</v>
      </c>
      <c r="N54" s="46">
        <v>25.0</v>
      </c>
      <c r="O54" s="42" t="s">
        <v>21</v>
      </c>
      <c r="P54" s="46">
        <v>1.0</v>
      </c>
      <c r="Q54" s="46"/>
      <c r="R54" s="47">
        <f t="array" ref="R54">INDIRECT("'renta'!G$"&amp;MATCH(O54,renta!$A:$A,0))*P54</f>
        <v>0.12</v>
      </c>
      <c r="S54" s="48">
        <f t="shared" si="7"/>
        <v>0.1241</v>
      </c>
      <c r="T54" s="49" t="str">
        <f t="shared" si="4"/>
        <v>CLAY</v>
      </c>
      <c r="U54" s="50">
        <f t="shared" si="5"/>
        <v>14637.68633</v>
      </c>
      <c r="V54" s="80"/>
      <c r="W54" s="52" t="str">
        <f t="shared" si="6"/>
        <v/>
      </c>
      <c r="X54" s="52"/>
      <c r="Y54" s="80">
        <v>1.0</v>
      </c>
      <c r="Z54" s="39">
        <v>0.0</v>
      </c>
      <c r="AA54" s="53">
        <v>1.0</v>
      </c>
      <c r="AB54" s="82" t="s">
        <v>146</v>
      </c>
      <c r="AC54" s="54" t="s">
        <v>162</v>
      </c>
      <c r="AD54" s="50"/>
      <c r="AE54" s="83"/>
      <c r="AF54" s="40" t="s">
        <v>147</v>
      </c>
      <c r="AG54" s="40" t="s">
        <v>402</v>
      </c>
      <c r="AH54" s="84"/>
      <c r="AI54" s="39"/>
    </row>
    <row r="55" hidden="1" outlineLevel="1">
      <c r="A55" s="58" t="s">
        <v>403</v>
      </c>
      <c r="B55" s="59">
        <v>5.0</v>
      </c>
      <c r="C55" s="60">
        <v>6.134259259259259E-4</v>
      </c>
      <c r="D55" s="61">
        <f t="array" ref="D55">IFERROR(INDIRECT("'renta'!G$"&amp;MATCH(T55,renta!$A:$A,0))*0.975-(G55*INDIRECT("'renta'!G$"&amp;MATCH(F55,renta!$A:$A,0)))/B55-IFERROR((J55*INDIRECT("'renta'!G$"&amp;MATCH(I55,renta!$A:$A,0)))/B55,0),)</f>
        <v>0.007318843165</v>
      </c>
      <c r="E55" s="41">
        <f t="shared" si="1"/>
        <v>4.971289697</v>
      </c>
      <c r="F55" s="61" t="s">
        <v>18</v>
      </c>
      <c r="G55" s="62">
        <f t="shared" si="2"/>
        <v>47.5</v>
      </c>
      <c r="H55" s="63" t="s">
        <v>404</v>
      </c>
      <c r="I55" s="64"/>
      <c r="J55" s="64"/>
      <c r="K55" s="64"/>
      <c r="L55" s="59" t="s">
        <v>137</v>
      </c>
      <c r="M55" s="65">
        <v>4.0</v>
      </c>
      <c r="N55" s="65">
        <v>25.0</v>
      </c>
      <c r="O55" s="66" t="s">
        <v>24</v>
      </c>
      <c r="P55" s="65">
        <v>1.0</v>
      </c>
      <c r="Q55" s="65"/>
      <c r="R55" s="67">
        <f t="array" ref="R55">INDIRECT("'renta'!G$"&amp;MATCH(O55,renta!$A:$A,0))*P55</f>
        <v>0.3117692947</v>
      </c>
      <c r="S55" s="68">
        <f t="shared" si="7"/>
        <v>0.4358692947</v>
      </c>
      <c r="T55" s="69" t="str">
        <f t="shared" si="4"/>
        <v>CLAY</v>
      </c>
      <c r="U55" s="70">
        <f t="shared" si="5"/>
        <v>4677.320707</v>
      </c>
      <c r="V55" s="71"/>
      <c r="W55" s="72" t="str">
        <f t="shared" si="6"/>
        <v/>
      </c>
      <c r="X55" s="72"/>
      <c r="Y55" s="71">
        <v>3.0</v>
      </c>
      <c r="Z55" s="60">
        <v>2.662037037037037E-4</v>
      </c>
      <c r="AA55" s="85" t="s">
        <v>405</v>
      </c>
      <c r="AB55" s="74" t="s">
        <v>406</v>
      </c>
      <c r="AC55" s="75" t="s">
        <v>168</v>
      </c>
      <c r="AD55" s="70"/>
      <c r="AE55" s="76"/>
      <c r="AF55" s="61" t="s">
        <v>407</v>
      </c>
      <c r="AG55" s="61" t="s">
        <v>408</v>
      </c>
      <c r="AH55" s="86">
        <v>31.0</v>
      </c>
      <c r="AI55" s="60"/>
    </row>
    <row r="56" hidden="1" outlineLevel="1">
      <c r="A56" s="78" t="s">
        <v>409</v>
      </c>
      <c r="B56" s="38">
        <v>10.0</v>
      </c>
      <c r="C56" s="39">
        <v>9.953703703703704E-4</v>
      </c>
      <c r="D56" s="40">
        <f t="array" ref="D56">IFERROR(INDIRECT("'renta'!G$"&amp;MATCH(T56,renta!$A:$A,0))*0.975-(G56*INDIRECT("'renta'!G$"&amp;MATCH(F56,renta!$A:$A,0)))/B56-IFERROR((J56*INDIRECT("'renta'!G$"&amp;MATCH(I56,renta!$A:$A,0)))/B56,0),)</f>
        <v>0.007318843165</v>
      </c>
      <c r="E56" s="41">
        <f t="shared" si="1"/>
        <v>6.12740358</v>
      </c>
      <c r="F56" s="40" t="s">
        <v>18</v>
      </c>
      <c r="G56" s="43">
        <f t="shared" si="2"/>
        <v>95</v>
      </c>
      <c r="H56" s="44" t="s">
        <v>410</v>
      </c>
      <c r="I56" s="79"/>
      <c r="J56" s="79"/>
      <c r="K56" s="79"/>
      <c r="L56" s="38" t="s">
        <v>137</v>
      </c>
      <c r="M56" s="46">
        <v>8.0</v>
      </c>
      <c r="N56" s="46">
        <v>25.0</v>
      </c>
      <c r="O56" s="42" t="s">
        <v>24</v>
      </c>
      <c r="P56" s="46">
        <v>6.0</v>
      </c>
      <c r="Q56" s="46"/>
      <c r="R56" s="47">
        <f t="array" ref="R56">INDIRECT("'renta'!G$"&amp;MATCH(O56,renta!$A:$A,0))*P56</f>
        <v>1.870615768</v>
      </c>
      <c r="S56" s="48">
        <f t="shared" si="7"/>
        <v>2.306485063</v>
      </c>
      <c r="T56" s="49" t="str">
        <f t="shared" si="4"/>
        <v>CLAY</v>
      </c>
      <c r="U56" s="50">
        <f t="shared" si="5"/>
        <v>618.0392054</v>
      </c>
      <c r="V56" s="80"/>
      <c r="W56" s="52" t="str">
        <f t="shared" si="6"/>
        <v/>
      </c>
      <c r="X56" s="52"/>
      <c r="Y56" s="80">
        <v>5.0</v>
      </c>
      <c r="Z56" s="39">
        <v>3.8194444444444446E-4</v>
      </c>
      <c r="AA56" s="81" t="s">
        <v>411</v>
      </c>
      <c r="AB56" s="82" t="s">
        <v>412</v>
      </c>
      <c r="AC56" s="54" t="s">
        <v>181</v>
      </c>
      <c r="AD56" s="50"/>
      <c r="AE56" s="83"/>
      <c r="AF56" s="40" t="s">
        <v>407</v>
      </c>
      <c r="AG56" s="40" t="s">
        <v>413</v>
      </c>
      <c r="AH56" s="87">
        <v>31.0</v>
      </c>
      <c r="AI56" s="39"/>
    </row>
    <row r="57" hidden="1" outlineLevel="1">
      <c r="A57" s="58" t="s">
        <v>414</v>
      </c>
      <c r="B57" s="59">
        <v>40.0</v>
      </c>
      <c r="C57" s="60">
        <v>0.003472222222222222</v>
      </c>
      <c r="D57" s="61">
        <f t="array" ref="D57">IFERROR(INDIRECT("'renta'!G$"&amp;MATCH(T57,renta!$A:$A,0))*0.975-(G57*INDIRECT("'renta'!G$"&amp;MATCH(F57,renta!$A:$A,0)))/B57-IFERROR((J57*INDIRECT("'renta'!G$"&amp;MATCH(I57,renta!$A:$A,0)))/B57,0),)</f>
        <v>0.007318843165</v>
      </c>
      <c r="E57" s="41">
        <f t="shared" si="1"/>
        <v>7.026089438</v>
      </c>
      <c r="F57" s="61" t="s">
        <v>18</v>
      </c>
      <c r="G57" s="62">
        <f t="shared" si="2"/>
        <v>380</v>
      </c>
      <c r="H57" s="63" t="s">
        <v>415</v>
      </c>
      <c r="I57" s="64"/>
      <c r="J57" s="64"/>
      <c r="K57" s="64"/>
      <c r="L57" s="59" t="s">
        <v>137</v>
      </c>
      <c r="M57" s="65">
        <v>32.0</v>
      </c>
      <c r="N57" s="65">
        <v>25.0</v>
      </c>
      <c r="O57" s="66" t="s">
        <v>24</v>
      </c>
      <c r="P57" s="65">
        <v>9.0</v>
      </c>
      <c r="Q57" s="65"/>
      <c r="R57" s="67">
        <f t="array" ref="R57">INDIRECT("'renta'!G$"&amp;MATCH(O57,renta!$A:$A,0))*P57</f>
        <v>2.805923652</v>
      </c>
      <c r="S57" s="68">
        <f t="shared" si="7"/>
        <v>5.112408715</v>
      </c>
      <c r="T57" s="69" t="str">
        <f t="shared" si="4"/>
        <v>CLAY</v>
      </c>
      <c r="U57" s="70">
        <f t="shared" si="5"/>
        <v>320.2816505</v>
      </c>
      <c r="V57" s="71"/>
      <c r="W57" s="72" t="str">
        <f t="shared" si="6"/>
        <v/>
      </c>
      <c r="X57" s="72"/>
      <c r="Y57" s="71">
        <v>30.0</v>
      </c>
      <c r="Z57" s="60">
        <v>0.002476851851851852</v>
      </c>
      <c r="AA57" s="85" t="s">
        <v>416</v>
      </c>
      <c r="AB57" s="74" t="s">
        <v>417</v>
      </c>
      <c r="AC57" s="75" t="s">
        <v>188</v>
      </c>
      <c r="AD57" s="70"/>
      <c r="AE57" s="76"/>
      <c r="AF57" s="61" t="s">
        <v>407</v>
      </c>
      <c r="AG57" s="61" t="s">
        <v>418</v>
      </c>
      <c r="AH57" s="86">
        <v>31.0</v>
      </c>
      <c r="AI57" s="60"/>
    </row>
    <row r="58" hidden="1" outlineLevel="1">
      <c r="A58" s="78" t="s">
        <v>419</v>
      </c>
      <c r="B58" s="38">
        <v>100.0</v>
      </c>
      <c r="C58" s="39">
        <v>0.007789351851851852</v>
      </c>
      <c r="D58" s="40">
        <f t="array" ref="D58">IFERROR(INDIRECT("'renta'!G$"&amp;MATCH(T58,renta!$A:$A,0))*0.975-(G58*INDIRECT("'renta'!G$"&amp;MATCH(F58,renta!$A:$A,0)))/B58-IFERROR((J58*INDIRECT("'renta'!G$"&amp;MATCH(I58,renta!$A:$A,0)))/B58,0),)</f>
        <v>0.007318843165</v>
      </c>
      <c r="E58" s="41">
        <f t="shared" si="1"/>
        <v>7.829965942</v>
      </c>
      <c r="F58" s="40" t="s">
        <v>18</v>
      </c>
      <c r="G58" s="43">
        <f t="shared" si="2"/>
        <v>950</v>
      </c>
      <c r="H58" s="44" t="s">
        <v>420</v>
      </c>
      <c r="I58" s="79"/>
      <c r="J58" s="79"/>
      <c r="K58" s="79"/>
      <c r="L58" s="38" t="s">
        <v>137</v>
      </c>
      <c r="M58" s="46">
        <v>80.0</v>
      </c>
      <c r="N58" s="46">
        <v>25.0</v>
      </c>
      <c r="O58" s="42" t="s">
        <v>24</v>
      </c>
      <c r="P58" s="46">
        <v>13.0</v>
      </c>
      <c r="Q58" s="46"/>
      <c r="R58" s="47">
        <f t="array" ref="R58">INDIRECT("'renta'!G$"&amp;MATCH(O58,renta!$A:$A,0))*P58</f>
        <v>4.053000831</v>
      </c>
      <c r="S58" s="48">
        <f t="shared" si="7"/>
        <v>9.165409546</v>
      </c>
      <c r="T58" s="49" t="str">
        <f t="shared" si="4"/>
        <v>CLAY</v>
      </c>
      <c r="U58" s="50">
        <f t="shared" si="5"/>
        <v>198.3410655</v>
      </c>
      <c r="V58" s="80"/>
      <c r="W58" s="52" t="str">
        <f t="shared" si="6"/>
        <v/>
      </c>
      <c r="X58" s="52"/>
      <c r="Y58" s="80">
        <v>60.0</v>
      </c>
      <c r="Z58" s="39">
        <v>0.00431712962962963</v>
      </c>
      <c r="AA58" s="81" t="s">
        <v>421</v>
      </c>
      <c r="AB58" s="82" t="s">
        <v>422</v>
      </c>
      <c r="AC58" s="54" t="s">
        <v>188</v>
      </c>
      <c r="AD58" s="50"/>
      <c r="AE58" s="83"/>
      <c r="AF58" s="40" t="s">
        <v>407</v>
      </c>
      <c r="AG58" s="40" t="s">
        <v>423</v>
      </c>
      <c r="AH58" s="87">
        <v>31.0</v>
      </c>
      <c r="AI58" s="39"/>
    </row>
    <row r="59" hidden="1" outlineLevel="1">
      <c r="A59" s="58" t="s">
        <v>424</v>
      </c>
      <c r="B59" s="59">
        <v>200.0</v>
      </c>
      <c r="C59" s="60">
        <v>0.014247685185185184</v>
      </c>
      <c r="D59" s="61">
        <f t="array" ref="D59">IFERROR(INDIRECT("'renta'!G$"&amp;MATCH(T59,renta!$A:$A,0))*0.975-(G59*INDIRECT("'renta'!G$"&amp;MATCH(F59,renta!$A:$A,0)))/B59-IFERROR((J59*INDIRECT("'renta'!G$"&amp;MATCH(I59,renta!$A:$A,0)))/B59,0),)</f>
        <v>0.007318843165</v>
      </c>
      <c r="E59" s="41">
        <f t="shared" si="1"/>
        <v>8.561441233</v>
      </c>
      <c r="F59" s="61" t="s">
        <v>18</v>
      </c>
      <c r="G59" s="62">
        <f t="shared" si="2"/>
        <v>1900</v>
      </c>
      <c r="H59" s="63" t="s">
        <v>425</v>
      </c>
      <c r="I59" s="64"/>
      <c r="J59" s="64"/>
      <c r="K59" s="64"/>
      <c r="L59" s="59" t="s">
        <v>137</v>
      </c>
      <c r="M59" s="65">
        <v>160.0</v>
      </c>
      <c r="N59" s="65">
        <v>25.0</v>
      </c>
      <c r="O59" s="66" t="s">
        <v>24</v>
      </c>
      <c r="P59" s="65">
        <v>19.0</v>
      </c>
      <c r="Q59" s="65"/>
      <c r="R59" s="67">
        <f t="array" ref="R59">INDIRECT("'renta'!G$"&amp;MATCH(O59,renta!$A:$A,0))*P59</f>
        <v>5.923616599</v>
      </c>
      <c r="S59" s="68">
        <f t="shared" si="7"/>
        <v>15.08902615</v>
      </c>
      <c r="T59" s="69" t="str">
        <f t="shared" si="4"/>
        <v>CLAY</v>
      </c>
      <c r="U59" s="70">
        <f t="shared" si="5"/>
        <v>123.4845772</v>
      </c>
      <c r="V59" s="71"/>
      <c r="W59" s="72" t="str">
        <f t="shared" si="6"/>
        <v/>
      </c>
      <c r="X59" s="72"/>
      <c r="Y59" s="71">
        <v>100.0</v>
      </c>
      <c r="Z59" s="60">
        <v>0.006458333333333333</v>
      </c>
      <c r="AA59" s="85" t="s">
        <v>426</v>
      </c>
      <c r="AB59" s="74" t="s">
        <v>172</v>
      </c>
      <c r="AC59" s="75" t="s">
        <v>188</v>
      </c>
      <c r="AD59" s="70"/>
      <c r="AE59" s="76"/>
      <c r="AF59" s="61" t="s">
        <v>407</v>
      </c>
      <c r="AG59" s="61" t="s">
        <v>427</v>
      </c>
      <c r="AH59" s="86">
        <v>31.0</v>
      </c>
      <c r="AI59" s="60"/>
    </row>
    <row r="60" hidden="1" outlineLevel="1">
      <c r="A60" s="78" t="s">
        <v>428</v>
      </c>
      <c r="B60" s="38">
        <v>315.0</v>
      </c>
      <c r="C60" s="39">
        <v>0.020833333333333332</v>
      </c>
      <c r="D60" s="40">
        <f t="array" ref="D60">IFERROR(INDIRECT("'renta'!G$"&amp;MATCH(T60,renta!$A:$A,0))*0.975-(G60*INDIRECT("'renta'!G$"&amp;MATCH(F60,renta!$A:$A,0)))/B60-IFERROR((J60*INDIRECT("'renta'!G$"&amp;MATCH(I60,renta!$A:$A,0)))/B60,0),)</f>
        <v>0.007318843165</v>
      </c>
      <c r="E60" s="41">
        <f t="shared" si="1"/>
        <v>9.221742388</v>
      </c>
      <c r="F60" s="40" t="s">
        <v>18</v>
      </c>
      <c r="G60" s="43">
        <f t="shared" si="2"/>
        <v>2992.5</v>
      </c>
      <c r="H60" s="44" t="s">
        <v>429</v>
      </c>
      <c r="I60" s="79"/>
      <c r="J60" s="79"/>
      <c r="K60" s="79"/>
      <c r="L60" s="38" t="s">
        <v>137</v>
      </c>
      <c r="M60" s="46">
        <v>252.0</v>
      </c>
      <c r="N60" s="46">
        <v>25.0</v>
      </c>
      <c r="O60" s="42" t="s">
        <v>24</v>
      </c>
      <c r="P60" s="46">
        <v>28.0</v>
      </c>
      <c r="Q60" s="46"/>
      <c r="R60" s="47">
        <f t="array" ref="R60">INDIRECT("'renta'!G$"&amp;MATCH(O60,renta!$A:$A,0))*P60</f>
        <v>8.729540252</v>
      </c>
      <c r="S60" s="48">
        <f t="shared" si="7"/>
        <v>23.8185664</v>
      </c>
      <c r="T60" s="49" t="str">
        <f t="shared" si="4"/>
        <v>CLAY</v>
      </c>
      <c r="U60" s="50">
        <f t="shared" si="5"/>
        <v>75.63985457</v>
      </c>
      <c r="V60" s="80"/>
      <c r="W60" s="52" t="str">
        <f t="shared" si="6"/>
        <v/>
      </c>
      <c r="X60" s="52"/>
      <c r="Y60" s="80">
        <v>115.0</v>
      </c>
      <c r="Z60" s="39">
        <v>0.006585648148148148</v>
      </c>
      <c r="AA60" s="81" t="s">
        <v>430</v>
      </c>
      <c r="AB60" s="82" t="s">
        <v>431</v>
      </c>
      <c r="AC60" s="54" t="s">
        <v>193</v>
      </c>
      <c r="AD60" s="50"/>
      <c r="AE60" s="83"/>
      <c r="AF60" s="40" t="s">
        <v>407</v>
      </c>
      <c r="AG60" s="40" t="s">
        <v>432</v>
      </c>
      <c r="AH60" s="87">
        <v>31.0</v>
      </c>
      <c r="AI60" s="39"/>
    </row>
    <row r="61" hidden="1" outlineLevel="1">
      <c r="A61" s="58" t="s">
        <v>433</v>
      </c>
      <c r="B61" s="59">
        <v>448.0</v>
      </c>
      <c r="C61" s="60">
        <v>0.027777777777777776</v>
      </c>
      <c r="D61" s="61">
        <f t="array" ref="D61">IFERROR(INDIRECT("'renta'!G$"&amp;MATCH(T61,renta!$A:$A,0))*0.975-(G61*INDIRECT("'renta'!G$"&amp;MATCH(F61,renta!$A:$A,0)))/B61-IFERROR((J61*INDIRECT("'renta'!G$"&amp;MATCH(I61,renta!$A:$A,0)))/B61,0),)</f>
        <v>0.007318843165</v>
      </c>
      <c r="E61" s="41">
        <f t="shared" si="1"/>
        <v>9.836525214</v>
      </c>
      <c r="F61" s="61" t="s">
        <v>18</v>
      </c>
      <c r="G61" s="62">
        <f t="shared" si="2"/>
        <v>4256</v>
      </c>
      <c r="H61" s="63" t="s">
        <v>434</v>
      </c>
      <c r="I61" s="64"/>
      <c r="J61" s="64"/>
      <c r="K61" s="64"/>
      <c r="L61" s="59" t="s">
        <v>137</v>
      </c>
      <c r="M61" s="65">
        <v>359.0</v>
      </c>
      <c r="N61" s="65">
        <v>25.0</v>
      </c>
      <c r="O61" s="66" t="s">
        <v>27</v>
      </c>
      <c r="P61" s="65">
        <v>1.0</v>
      </c>
      <c r="Q61" s="65"/>
      <c r="R61" s="67">
        <f t="array" ref="R61">INDIRECT("'renta'!G$"&amp;MATCH(O61,renta!$A:$A,0))*P61</f>
        <v>8.33</v>
      </c>
      <c r="S61" s="68">
        <f t="shared" si="7"/>
        <v>32.1485664</v>
      </c>
      <c r="T61" s="69" t="str">
        <f t="shared" si="4"/>
        <v>CLAY</v>
      </c>
      <c r="U61" s="70">
        <f t="shared" si="5"/>
        <v>73.80346049</v>
      </c>
      <c r="V61" s="71"/>
      <c r="W61" s="72" t="str">
        <f t="shared" si="6"/>
        <v/>
      </c>
      <c r="X61" s="72"/>
      <c r="Y61" s="71">
        <v>133.0</v>
      </c>
      <c r="Z61" s="60">
        <v>0.006944444444444444</v>
      </c>
      <c r="AA61" s="85" t="s">
        <v>435</v>
      </c>
      <c r="AB61" s="74" t="s">
        <v>436</v>
      </c>
      <c r="AC61" s="75" t="s">
        <v>193</v>
      </c>
      <c r="AD61" s="70"/>
      <c r="AE61" s="76"/>
      <c r="AF61" s="61" t="s">
        <v>407</v>
      </c>
      <c r="AG61" s="61" t="s">
        <v>437</v>
      </c>
      <c r="AH61" s="86">
        <v>31.0</v>
      </c>
      <c r="AI61" s="60"/>
    </row>
    <row r="62" hidden="1" outlineLevel="1">
      <c r="A62" s="78" t="s">
        <v>438</v>
      </c>
      <c r="B62" s="38">
        <v>652.0</v>
      </c>
      <c r="C62" s="39">
        <v>0.03820601851851852</v>
      </c>
      <c r="D62" s="40">
        <f t="array" ref="D62">IFERROR(INDIRECT("'renta'!G$"&amp;MATCH(T62,renta!$A:$A,0))*0.975-(G62*INDIRECT("'renta'!G$"&amp;MATCH(F62,renta!$A:$A,0)))/B62-IFERROR((J62*INDIRECT("'renta'!G$"&amp;MATCH(I62,renta!$A:$A,0)))/B62,0),)</f>
        <v>0.007318843165</v>
      </c>
      <c r="E62" s="41">
        <f t="shared" si="1"/>
        <v>10.40823307</v>
      </c>
      <c r="F62" s="40" t="s">
        <v>18</v>
      </c>
      <c r="G62" s="43">
        <f t="shared" si="2"/>
        <v>6194</v>
      </c>
      <c r="H62" s="44" t="s">
        <v>439</v>
      </c>
      <c r="I62" s="79"/>
      <c r="J62" s="79"/>
      <c r="K62" s="79"/>
      <c r="L62" s="38" t="s">
        <v>137</v>
      </c>
      <c r="M62" s="46">
        <v>522.0</v>
      </c>
      <c r="N62" s="46">
        <v>25.0</v>
      </c>
      <c r="O62" s="42" t="s">
        <v>27</v>
      </c>
      <c r="P62" s="46">
        <v>2.0</v>
      </c>
      <c r="Q62" s="46"/>
      <c r="R62" s="47">
        <f t="array" ref="R62">INDIRECT("'renta'!G$"&amp;MATCH(O62,renta!$A:$A,0))*P62</f>
        <v>16.66</v>
      </c>
      <c r="S62" s="48">
        <f t="shared" si="7"/>
        <v>48.8085664</v>
      </c>
      <c r="T62" s="49" t="str">
        <f t="shared" si="4"/>
        <v>CLAY</v>
      </c>
      <c r="U62" s="50">
        <f t="shared" si="5"/>
        <v>34.31619767</v>
      </c>
      <c r="V62" s="80"/>
      <c r="W62" s="52" t="str">
        <f t="shared" si="6"/>
        <v/>
      </c>
      <c r="X62" s="52"/>
      <c r="Y62" s="80">
        <v>204.0</v>
      </c>
      <c r="Z62" s="39">
        <v>0.010428240740740741</v>
      </c>
      <c r="AA62" s="81" t="s">
        <v>440</v>
      </c>
      <c r="AB62" s="82" t="s">
        <v>441</v>
      </c>
      <c r="AC62" s="54" t="s">
        <v>203</v>
      </c>
      <c r="AD62" s="50"/>
      <c r="AE62" s="83"/>
      <c r="AF62" s="40" t="s">
        <v>407</v>
      </c>
      <c r="AG62" s="40" t="s">
        <v>442</v>
      </c>
      <c r="AH62" s="87">
        <v>31.0</v>
      </c>
      <c r="AI62" s="39"/>
    </row>
    <row r="63" hidden="1" outlineLevel="1">
      <c r="A63" s="58" t="s">
        <v>443</v>
      </c>
      <c r="B63" s="59">
        <v>810.0</v>
      </c>
      <c r="C63" s="60">
        <v>0.04518518518518518</v>
      </c>
      <c r="D63" s="61">
        <f t="array" ref="D63">IFERROR(INDIRECT("'renta'!G$"&amp;MATCH(T63,renta!$A:$A,0))*0.975-(G63*INDIRECT("'renta'!G$"&amp;MATCH(F63,renta!$A:$A,0)))/B63-IFERROR((J63*INDIRECT("'renta'!G$"&amp;MATCH(I63,renta!$A:$A,0)))/B63,0),)</f>
        <v>0.007318843165</v>
      </c>
      <c r="E63" s="41">
        <f t="shared" si="1"/>
        <v>10.93327186</v>
      </c>
      <c r="F63" s="61" t="s">
        <v>18</v>
      </c>
      <c r="G63" s="62">
        <f t="shared" si="2"/>
        <v>7695</v>
      </c>
      <c r="H63" s="63" t="s">
        <v>444</v>
      </c>
      <c r="I63" s="64"/>
      <c r="J63" s="64"/>
      <c r="K63" s="64"/>
      <c r="L63" s="59" t="s">
        <v>137</v>
      </c>
      <c r="M63" s="65">
        <v>648.0</v>
      </c>
      <c r="N63" s="65">
        <v>25.0</v>
      </c>
      <c r="O63" s="66" t="s">
        <v>27</v>
      </c>
      <c r="P63" s="65">
        <v>3.0</v>
      </c>
      <c r="Q63" s="65"/>
      <c r="R63" s="67">
        <f t="array" ref="R63">INDIRECT("'renta'!G$"&amp;MATCH(O63,renta!$A:$A,0))*P63</f>
        <v>24.99</v>
      </c>
      <c r="S63" s="68">
        <f t="shared" si="7"/>
        <v>73.7985664</v>
      </c>
      <c r="T63" s="69" t="str">
        <f t="shared" si="4"/>
        <v>CLAY</v>
      </c>
      <c r="U63" s="70">
        <f t="shared" si="5"/>
        <v>21.00995567</v>
      </c>
      <c r="V63" s="71"/>
      <c r="W63" s="72" t="str">
        <f t="shared" si="6"/>
        <v/>
      </c>
      <c r="X63" s="72"/>
      <c r="Y63" s="71">
        <v>158.0</v>
      </c>
      <c r="Z63" s="60">
        <v>0.006967592592592593</v>
      </c>
      <c r="AA63" s="85" t="s">
        <v>445</v>
      </c>
      <c r="AB63" s="74" t="s">
        <v>446</v>
      </c>
      <c r="AC63" s="75" t="s">
        <v>208</v>
      </c>
      <c r="AD63" s="70"/>
      <c r="AE63" s="76"/>
      <c r="AF63" s="61" t="s">
        <v>407</v>
      </c>
      <c r="AG63" s="61" t="s">
        <v>447</v>
      </c>
      <c r="AH63" s="86">
        <v>31.0</v>
      </c>
      <c r="AI63" s="60"/>
    </row>
    <row r="64" hidden="1" outlineLevel="1">
      <c r="A64" s="78" t="s">
        <v>448</v>
      </c>
      <c r="B64" s="38">
        <v>975.0</v>
      </c>
      <c r="C64" s="39">
        <v>0.052083333333333336</v>
      </c>
      <c r="D64" s="40">
        <f t="array" ref="D64">IFERROR(INDIRECT("'renta'!G$"&amp;MATCH(T64,renta!$A:$A,0))*0.975-(G64*INDIRECT("'renta'!G$"&amp;MATCH(F64,renta!$A:$A,0)))/B64-IFERROR((J64*INDIRECT("'renta'!G$"&amp;MATCH(I64,renta!$A:$A,0)))/B64,0),)</f>
        <v>0.007318843165</v>
      </c>
      <c r="E64" s="41">
        <f t="shared" si="1"/>
        <v>11.41739534</v>
      </c>
      <c r="F64" s="40" t="s">
        <v>18</v>
      </c>
      <c r="G64" s="43">
        <f t="shared" si="2"/>
        <v>9262.5</v>
      </c>
      <c r="H64" s="44" t="s">
        <v>449</v>
      </c>
      <c r="I64" s="79"/>
      <c r="J64" s="79"/>
      <c r="K64" s="79"/>
      <c r="L64" s="38" t="s">
        <v>137</v>
      </c>
      <c r="M64" s="46">
        <v>780.0</v>
      </c>
      <c r="N64" s="46">
        <v>25.0</v>
      </c>
      <c r="O64" s="42" t="s">
        <v>27</v>
      </c>
      <c r="P64" s="46">
        <v>5.0</v>
      </c>
      <c r="Q64" s="46"/>
      <c r="R64" s="47">
        <f t="array" ref="R64">INDIRECT("'renta'!G$"&amp;MATCH(O64,renta!$A:$A,0))*P64</f>
        <v>41.65</v>
      </c>
      <c r="S64" s="48">
        <f t="shared" si="7"/>
        <v>115.4485664</v>
      </c>
      <c r="T64" s="49" t="str">
        <f t="shared" si="4"/>
        <v>CLAY</v>
      </c>
      <c r="U64" s="50">
        <f t="shared" si="5"/>
        <v>11.62361292</v>
      </c>
      <c r="V64" s="80"/>
      <c r="W64" s="52" t="str">
        <f t="shared" si="6"/>
        <v/>
      </c>
      <c r="X64" s="52"/>
      <c r="Y64" s="80">
        <v>165.0</v>
      </c>
      <c r="Z64" s="39">
        <v>0.006898148148148148</v>
      </c>
      <c r="AA64" s="81" t="s">
        <v>450</v>
      </c>
      <c r="AB64" s="82" t="s">
        <v>451</v>
      </c>
      <c r="AC64" s="54" t="s">
        <v>213</v>
      </c>
      <c r="AD64" s="50"/>
      <c r="AE64" s="83"/>
      <c r="AF64" s="40" t="s">
        <v>407</v>
      </c>
      <c r="AG64" s="40" t="s">
        <v>452</v>
      </c>
      <c r="AH64" s="87">
        <v>31.0</v>
      </c>
      <c r="AI64" s="39"/>
    </row>
    <row r="65" hidden="1" outlineLevel="1">
      <c r="A65" s="58" t="s">
        <v>453</v>
      </c>
      <c r="B65" s="59">
        <v>1148.0</v>
      </c>
      <c r="C65" s="60">
        <v>0.05905092592592592</v>
      </c>
      <c r="D65" s="61">
        <f t="array" ref="D65">IFERROR(INDIRECT("'renta'!G$"&amp;MATCH(T65,renta!$A:$A,0))*0.975-(G65*INDIRECT("'renta'!G$"&amp;MATCH(F65,renta!$A:$A,0)))/B65-IFERROR((J65*INDIRECT("'renta'!G$"&amp;MATCH(I65,renta!$A:$A,0)))/B65,0),)</f>
        <v>0.007318843165</v>
      </c>
      <c r="E65" s="41">
        <f t="shared" si="1"/>
        <v>11.85704235</v>
      </c>
      <c r="F65" s="61" t="s">
        <v>18</v>
      </c>
      <c r="G65" s="62">
        <f t="shared" si="2"/>
        <v>10906</v>
      </c>
      <c r="H65" s="63" t="s">
        <v>454</v>
      </c>
      <c r="I65" s="64"/>
      <c r="J65" s="64"/>
      <c r="K65" s="64"/>
      <c r="L65" s="59" t="s">
        <v>137</v>
      </c>
      <c r="M65" s="65">
        <v>919.0</v>
      </c>
      <c r="N65" s="65">
        <v>25.0</v>
      </c>
      <c r="O65" s="66" t="s">
        <v>27</v>
      </c>
      <c r="P65" s="65">
        <v>9.0</v>
      </c>
      <c r="Q65" s="65"/>
      <c r="R65" s="67">
        <f t="array" ref="R65">INDIRECT("'renta'!G$"&amp;MATCH(O65,renta!$A:$A,0))*P65</f>
        <v>74.97</v>
      </c>
      <c r="S65" s="68">
        <f t="shared" si="7"/>
        <v>190.4185664</v>
      </c>
      <c r="T65" s="69" t="str">
        <f t="shared" si="4"/>
        <v>CLAY</v>
      </c>
      <c r="U65" s="70">
        <f t="shared" si="5"/>
        <v>5.864305877</v>
      </c>
      <c r="V65" s="71">
        <v>0.919</v>
      </c>
      <c r="W65" s="72">
        <f t="shared" si="6"/>
        <v>9.142581016</v>
      </c>
      <c r="X65" s="72"/>
      <c r="Y65" s="71">
        <v>173.0</v>
      </c>
      <c r="Z65" s="60">
        <v>0.006967592592592593</v>
      </c>
      <c r="AA65" s="85" t="s">
        <v>455</v>
      </c>
      <c r="AB65" s="74" t="s">
        <v>456</v>
      </c>
      <c r="AC65" s="75" t="s">
        <v>224</v>
      </c>
      <c r="AD65" s="70"/>
      <c r="AE65" s="76"/>
      <c r="AF65" s="61" t="s">
        <v>407</v>
      </c>
      <c r="AG65" s="61" t="s">
        <v>457</v>
      </c>
      <c r="AH65" s="86">
        <v>31.0</v>
      </c>
      <c r="AI65" s="60"/>
    </row>
    <row r="66" hidden="1" outlineLevel="1">
      <c r="A66" s="78" t="s">
        <v>458</v>
      </c>
      <c r="B66" s="38">
        <v>1326.0</v>
      </c>
      <c r="C66" s="39">
        <v>0.06592592592592593</v>
      </c>
      <c r="D66" s="40">
        <f t="array" ref="D66">IFERROR(INDIRECT("'renta'!G$"&amp;MATCH(T66,renta!$A:$A,0))*0.975-(G66*INDIRECT("'renta'!G$"&amp;MATCH(F66,renta!$A:$A,0)))/B66-IFERROR((J66*INDIRECT("'renta'!G$"&amp;MATCH(I66,renta!$A:$A,0)))/B66,0),)</f>
        <v>0.007318843165</v>
      </c>
      <c r="E66" s="41">
        <f t="shared" si="1"/>
        <v>12.26728572</v>
      </c>
      <c r="F66" s="40" t="s">
        <v>18</v>
      </c>
      <c r="G66" s="43">
        <f t="shared" si="2"/>
        <v>12597</v>
      </c>
      <c r="H66" s="44" t="s">
        <v>459</v>
      </c>
      <c r="I66" s="79"/>
      <c r="J66" s="79"/>
      <c r="K66" s="79"/>
      <c r="L66" s="38" t="s">
        <v>137</v>
      </c>
      <c r="M66" s="46">
        <v>1.061</v>
      </c>
      <c r="N66" s="46">
        <v>25.0</v>
      </c>
      <c r="O66" s="42" t="s">
        <v>27</v>
      </c>
      <c r="P66" s="46">
        <v>14.0</v>
      </c>
      <c r="Q66" s="46"/>
      <c r="R66" s="47">
        <f t="array" ref="R66">INDIRECT("'renta'!G$"&amp;MATCH(O66,renta!$A:$A,0))*P66</f>
        <v>116.62</v>
      </c>
      <c r="S66" s="48">
        <f t="shared" si="7"/>
        <v>307.0385664</v>
      </c>
      <c r="T66" s="49" t="str">
        <f t="shared" si="4"/>
        <v>CLAY</v>
      </c>
      <c r="U66" s="50">
        <f t="shared" si="5"/>
        <v>3.517778869</v>
      </c>
      <c r="V66" s="80">
        <v>1.01</v>
      </c>
      <c r="W66" s="52">
        <f t="shared" si="6"/>
        <v>9.608699046</v>
      </c>
      <c r="X66" s="52"/>
      <c r="Y66" s="80">
        <v>178.0</v>
      </c>
      <c r="Z66" s="39">
        <v>0.006875</v>
      </c>
      <c r="AA66" s="81" t="s">
        <v>460</v>
      </c>
      <c r="AB66" s="82" t="s">
        <v>461</v>
      </c>
      <c r="AC66" s="54" t="s">
        <v>229</v>
      </c>
      <c r="AD66" s="50"/>
      <c r="AE66" s="83"/>
      <c r="AF66" s="40" t="s">
        <v>407</v>
      </c>
      <c r="AG66" s="40" t="s">
        <v>462</v>
      </c>
      <c r="AH66" s="87">
        <v>31.0</v>
      </c>
      <c r="AI66" s="39"/>
    </row>
    <row r="67" hidden="1" outlineLevel="1">
      <c r="A67" s="58" t="s">
        <v>463</v>
      </c>
      <c r="B67" s="59">
        <v>1512.0</v>
      </c>
      <c r="C67" s="60">
        <v>0.07291666666666667</v>
      </c>
      <c r="D67" s="61">
        <f t="array" ref="D67">IFERROR(INDIRECT("'renta'!G$"&amp;MATCH(T67,renta!$A:$A,0))*0.975-(G67*INDIRECT("'renta'!G$"&amp;MATCH(F67,renta!$A:$A,0)))/B67-IFERROR((J67*INDIRECT("'renta'!G$"&amp;MATCH(I67,renta!$A:$A,0)))/B67,0),)</f>
        <v>0.007318843165</v>
      </c>
      <c r="E67" s="41">
        <f t="shared" si="1"/>
        <v>12.64696099</v>
      </c>
      <c r="F67" s="61" t="s">
        <v>18</v>
      </c>
      <c r="G67" s="62">
        <f t="shared" si="2"/>
        <v>14364</v>
      </c>
      <c r="H67" s="63" t="s">
        <v>464</v>
      </c>
      <c r="I67" s="64"/>
      <c r="J67" s="64"/>
      <c r="K67" s="64"/>
      <c r="L67" s="59" t="s">
        <v>137</v>
      </c>
      <c r="M67" s="65">
        <v>1.21</v>
      </c>
      <c r="N67" s="65">
        <v>25.0</v>
      </c>
      <c r="O67" s="66" t="s">
        <v>27</v>
      </c>
      <c r="P67" s="65">
        <v>19.0</v>
      </c>
      <c r="Q67" s="65"/>
      <c r="R67" s="67">
        <f t="array" ref="R67">INDIRECT("'renta'!G$"&amp;MATCH(O67,renta!$A:$A,0))*P67</f>
        <v>158.27</v>
      </c>
      <c r="S67" s="68">
        <f t="shared" si="7"/>
        <v>465.3085664</v>
      </c>
      <c r="T67" s="69" t="str">
        <f t="shared" si="4"/>
        <v>CLAY</v>
      </c>
      <c r="U67" s="70">
        <f t="shared" si="5"/>
        <v>2.398908627</v>
      </c>
      <c r="V67" s="71"/>
      <c r="W67" s="72" t="str">
        <f t="shared" si="6"/>
        <v/>
      </c>
      <c r="X67" s="72"/>
      <c r="Y67" s="71">
        <v>186.0</v>
      </c>
      <c r="Z67" s="60">
        <v>0.006990740740740741</v>
      </c>
      <c r="AA67" s="85" t="s">
        <v>465</v>
      </c>
      <c r="AB67" s="74" t="s">
        <v>466</v>
      </c>
      <c r="AC67" s="75" t="s">
        <v>233</v>
      </c>
      <c r="AD67" s="70"/>
      <c r="AE67" s="76"/>
      <c r="AF67" s="61" t="s">
        <v>407</v>
      </c>
      <c r="AG67" s="61" t="s">
        <v>467</v>
      </c>
      <c r="AH67" s="86">
        <v>31.0</v>
      </c>
      <c r="AI67" s="60"/>
    </row>
    <row r="68" hidden="1" outlineLevel="1">
      <c r="A68" s="78" t="s">
        <v>22</v>
      </c>
      <c r="B68" s="38">
        <v>1702.0</v>
      </c>
      <c r="C68" s="39">
        <v>0.0798611111111111</v>
      </c>
      <c r="D68" s="40">
        <f t="array" ref="D68">IFERROR(INDIRECT("'renta'!G$"&amp;MATCH(T68,renta!$A:$A,0))*0.975-(G68*INDIRECT("'renta'!G$"&amp;MATCH(F68,renta!$A:$A,0)))/B68-IFERROR((J68*INDIRECT("'renta'!G$"&amp;MATCH(I68,renta!$A:$A,0)))/B68,0),)</f>
        <v>0.007318843165</v>
      </c>
      <c r="E68" s="41">
        <f t="shared" si="1"/>
        <v>12.99826546</v>
      </c>
      <c r="F68" s="40" t="s">
        <v>18</v>
      </c>
      <c r="G68" s="43">
        <f t="shared" si="2"/>
        <v>16169</v>
      </c>
      <c r="H68" s="44" t="s">
        <v>468</v>
      </c>
      <c r="I68" s="79"/>
      <c r="J68" s="79"/>
      <c r="K68" s="79"/>
      <c r="L68" s="38" t="s">
        <v>137</v>
      </c>
      <c r="M68" s="46">
        <v>1.362</v>
      </c>
      <c r="N68" s="46">
        <v>25.0</v>
      </c>
      <c r="O68" s="42" t="s">
        <v>27</v>
      </c>
      <c r="P68" s="46">
        <v>26.0</v>
      </c>
      <c r="Q68" s="46"/>
      <c r="R68" s="47">
        <f t="array" ref="R68">INDIRECT("'renta'!G$"&amp;MATCH(O68,renta!$A:$A,0))*P68</f>
        <v>216.58</v>
      </c>
      <c r="S68" s="48">
        <f t="shared" si="7"/>
        <v>681.8885664</v>
      </c>
      <c r="T68" s="49" t="str">
        <f t="shared" si="4"/>
        <v>CLAY</v>
      </c>
      <c r="U68" s="50">
        <f t="shared" si="5"/>
        <v>1.622054077</v>
      </c>
      <c r="V68" s="80">
        <v>1.37</v>
      </c>
      <c r="W68" s="52">
        <f t="shared" si="6"/>
        <v>9.092460633</v>
      </c>
      <c r="X68" s="52"/>
      <c r="Y68" s="80">
        <v>190.0</v>
      </c>
      <c r="Z68" s="39">
        <v>0.006944444444444444</v>
      </c>
      <c r="AA68" s="81" t="s">
        <v>469</v>
      </c>
      <c r="AB68" s="82" t="s">
        <v>470</v>
      </c>
      <c r="AC68" s="54" t="s">
        <v>238</v>
      </c>
      <c r="AD68" s="50"/>
      <c r="AE68" s="83"/>
      <c r="AF68" s="40" t="s">
        <v>407</v>
      </c>
      <c r="AG68" s="40" t="s">
        <v>471</v>
      </c>
      <c r="AH68" s="87">
        <v>31.0</v>
      </c>
      <c r="AI68" s="39"/>
    </row>
    <row r="69" hidden="1" outlineLevel="1">
      <c r="A69" s="58" t="s">
        <v>472</v>
      </c>
      <c r="B69" s="59">
        <v>1880.0</v>
      </c>
      <c r="C69" s="60">
        <v>0.08607638888888888</v>
      </c>
      <c r="D69" s="61">
        <f t="array" ref="D69">IFERROR(INDIRECT("'renta'!G$"&amp;MATCH(T69,renta!$A:$A,0))*0.975-(G69*INDIRECT("'renta'!G$"&amp;MATCH(F69,renta!$A:$A,0)))/B69-IFERROR((J69*INDIRECT("'renta'!G$"&amp;MATCH(I69,renta!$A:$A,0)))/B69,0),)</f>
        <v>0.007318843165</v>
      </c>
      <c r="E69" s="41">
        <f t="shared" si="1"/>
        <v>13.32094407</v>
      </c>
      <c r="F69" s="61" t="s">
        <v>18</v>
      </c>
      <c r="G69" s="62">
        <f t="shared" si="2"/>
        <v>17860</v>
      </c>
      <c r="H69" s="63" t="s">
        <v>473</v>
      </c>
      <c r="I69" s="64"/>
      <c r="J69" s="64"/>
      <c r="K69" s="64"/>
      <c r="L69" s="59" t="s">
        <v>137</v>
      </c>
      <c r="M69" s="65">
        <v>1.504</v>
      </c>
      <c r="N69" s="65">
        <v>25.0</v>
      </c>
      <c r="O69" s="66" t="s">
        <v>27</v>
      </c>
      <c r="P69" s="65">
        <v>33.0</v>
      </c>
      <c r="Q69" s="65"/>
      <c r="R69" s="67">
        <f t="array" ref="R69">INDIRECT("'renta'!G$"&amp;MATCH(O69,renta!$A:$A,0))*P69</f>
        <v>274.89</v>
      </c>
      <c r="S69" s="68">
        <f t="shared" si="7"/>
        <v>956.7785664</v>
      </c>
      <c r="T69" s="69" t="str">
        <f t="shared" si="4"/>
        <v>CLAY</v>
      </c>
      <c r="U69" s="70">
        <f t="shared" si="5"/>
        <v>1.173846314</v>
      </c>
      <c r="V69" s="71"/>
      <c r="W69" s="72" t="str">
        <f t="shared" si="6"/>
        <v/>
      </c>
      <c r="X69" s="72"/>
      <c r="Y69" s="71">
        <v>178.0</v>
      </c>
      <c r="Z69" s="60">
        <v>0.006215277777777778</v>
      </c>
      <c r="AA69" s="85" t="s">
        <v>474</v>
      </c>
      <c r="AB69" s="74" t="s">
        <v>475</v>
      </c>
      <c r="AC69" s="75" t="s">
        <v>243</v>
      </c>
      <c r="AD69" s="70"/>
      <c r="AE69" s="76"/>
      <c r="AF69" s="61" t="s">
        <v>407</v>
      </c>
      <c r="AG69" s="61" t="s">
        <v>476</v>
      </c>
      <c r="AH69" s="86">
        <v>31.0</v>
      </c>
      <c r="AI69" s="60"/>
    </row>
    <row r="70" hidden="1" outlineLevel="1">
      <c r="A70" s="78" t="s">
        <v>477</v>
      </c>
      <c r="B70" s="38">
        <v>2053.0</v>
      </c>
      <c r="C70" s="39">
        <v>0.09197916666666667</v>
      </c>
      <c r="D70" s="40">
        <f t="array" ref="D70">IFERROR(INDIRECT("'renta'!G$"&amp;MATCH(T70,renta!$A:$A,0))*0.975-(G70*INDIRECT("'renta'!G$"&amp;MATCH(F70,renta!$A:$A,0)))/B70-IFERROR((J70*INDIRECT("'renta'!G$"&amp;MATCH(I70,renta!$A:$A,0)))/B70,0),)</f>
        <v>0.007318843165</v>
      </c>
      <c r="E70" s="41">
        <f t="shared" si="1"/>
        <v>13.61321406</v>
      </c>
      <c r="F70" s="40" t="s">
        <v>18</v>
      </c>
      <c r="G70" s="43">
        <f t="shared" si="2"/>
        <v>19503.5</v>
      </c>
      <c r="H70" s="44" t="s">
        <v>478</v>
      </c>
      <c r="I70" s="79"/>
      <c r="J70" s="79"/>
      <c r="K70" s="79"/>
      <c r="L70" s="38" t="s">
        <v>137</v>
      </c>
      <c r="M70" s="46">
        <v>1.643</v>
      </c>
      <c r="N70" s="46">
        <v>25.0</v>
      </c>
      <c r="O70" s="42" t="s">
        <v>27</v>
      </c>
      <c r="P70" s="46">
        <v>42.0</v>
      </c>
      <c r="Q70" s="46"/>
      <c r="R70" s="47">
        <f t="array" ref="R70">INDIRECT("'renta'!G$"&amp;MATCH(O70,renta!$A:$A,0))*P70</f>
        <v>349.86</v>
      </c>
      <c r="S70" s="48">
        <f t="shared" si="7"/>
        <v>1306.638566</v>
      </c>
      <c r="T70" s="49" t="str">
        <f t="shared" si="4"/>
        <v>CLAY</v>
      </c>
      <c r="U70" s="50">
        <f t="shared" si="5"/>
        <v>0.8353912556</v>
      </c>
      <c r="V70" s="80"/>
      <c r="W70" s="52" t="str">
        <f t="shared" si="6"/>
        <v/>
      </c>
      <c r="X70" s="52"/>
      <c r="Y70" s="80">
        <v>173.0</v>
      </c>
      <c r="Z70" s="39">
        <v>0.005902777777777778</v>
      </c>
      <c r="AA70" s="81" t="s">
        <v>479</v>
      </c>
      <c r="AB70" s="82" t="s">
        <v>480</v>
      </c>
      <c r="AC70" s="54" t="s">
        <v>253</v>
      </c>
      <c r="AD70" s="50"/>
      <c r="AE70" s="83"/>
      <c r="AF70" s="40" t="s">
        <v>407</v>
      </c>
      <c r="AG70" s="40" t="s">
        <v>481</v>
      </c>
      <c r="AH70" s="87">
        <v>31.0</v>
      </c>
      <c r="AI70" s="39"/>
    </row>
    <row r="71" hidden="1" outlineLevel="1">
      <c r="A71" s="58" t="s">
        <v>482</v>
      </c>
      <c r="B71" s="59">
        <v>2207.0</v>
      </c>
      <c r="C71" s="60">
        <v>0.09689814814814815</v>
      </c>
      <c r="D71" s="61">
        <f t="array" ref="D71">IFERROR(INDIRECT("'renta'!G$"&amp;MATCH(T71,renta!$A:$A,0))*0.975-(G71*INDIRECT("'renta'!G$"&amp;MATCH(F71,renta!$A:$A,0)))/B71-IFERROR((J71*INDIRECT("'renta'!G$"&amp;MATCH(I71,renta!$A:$A,0)))/B71,0),)</f>
        <v>0.007318843165</v>
      </c>
      <c r="E71" s="41">
        <f t="shared" si="1"/>
        <v>13.89146505</v>
      </c>
      <c r="F71" s="61" t="s">
        <v>18</v>
      </c>
      <c r="G71" s="62">
        <f t="shared" si="2"/>
        <v>20966.5</v>
      </c>
      <c r="H71" s="63" t="s">
        <v>483</v>
      </c>
      <c r="I71" s="64"/>
      <c r="J71" s="64"/>
      <c r="K71" s="64"/>
      <c r="L71" s="59" t="s">
        <v>137</v>
      </c>
      <c r="M71" s="65">
        <v>1.766</v>
      </c>
      <c r="N71" s="65">
        <v>25.0</v>
      </c>
      <c r="O71" s="66" t="s">
        <v>27</v>
      </c>
      <c r="P71" s="65">
        <v>52.0</v>
      </c>
      <c r="Q71" s="65"/>
      <c r="R71" s="67">
        <f t="array" ref="R71">INDIRECT("'renta'!G$"&amp;MATCH(O71,renta!$A:$A,0))*P71</f>
        <v>433.16</v>
      </c>
      <c r="S71" s="68">
        <f t="shared" si="7"/>
        <v>1739.798566</v>
      </c>
      <c r="T71" s="69" t="str">
        <f t="shared" si="4"/>
        <v>CLAY</v>
      </c>
      <c r="U71" s="70">
        <f t="shared" si="5"/>
        <v>0.6423746295</v>
      </c>
      <c r="V71" s="71"/>
      <c r="W71" s="72" t="str">
        <f t="shared" si="6"/>
        <v/>
      </c>
      <c r="X71" s="72"/>
      <c r="Y71" s="71">
        <v>154.0</v>
      </c>
      <c r="Z71" s="60">
        <v>0.004918981481481482</v>
      </c>
      <c r="AA71" s="85" t="s">
        <v>484</v>
      </c>
      <c r="AB71" s="74" t="s">
        <v>485</v>
      </c>
      <c r="AC71" s="75" t="s">
        <v>258</v>
      </c>
      <c r="AD71" s="70"/>
      <c r="AE71" s="76"/>
      <c r="AF71" s="61" t="s">
        <v>407</v>
      </c>
      <c r="AG71" s="61" t="s">
        <v>486</v>
      </c>
      <c r="AH71" s="86">
        <v>31.0</v>
      </c>
      <c r="AI71" s="60"/>
    </row>
    <row r="72" hidden="1" outlineLevel="1">
      <c r="A72" s="78" t="s">
        <v>487</v>
      </c>
      <c r="B72" s="38">
        <v>2353.0</v>
      </c>
      <c r="C72" s="39">
        <v>0.10138888888888889</v>
      </c>
      <c r="D72" s="40">
        <f t="array" ref="D72">IFERROR(INDIRECT("'renta'!G$"&amp;MATCH(T72,renta!$A:$A,0))*0.975-(G72*INDIRECT("'renta'!G$"&amp;MATCH(F72,renta!$A:$A,0)))/B72-IFERROR((J72*INDIRECT("'renta'!G$"&amp;MATCH(I72,renta!$A:$A,0)))/B72,0),)</f>
        <v>0.007318843165</v>
      </c>
      <c r="E72" s="41">
        <f t="shared" si="1"/>
        <v>14.15444216</v>
      </c>
      <c r="F72" s="40" t="s">
        <v>18</v>
      </c>
      <c r="G72" s="43">
        <f t="shared" si="2"/>
        <v>22353.5</v>
      </c>
      <c r="H72" s="44" t="s">
        <v>488</v>
      </c>
      <c r="I72" s="79"/>
      <c r="J72" s="79"/>
      <c r="K72" s="79"/>
      <c r="L72" s="38" t="s">
        <v>137</v>
      </c>
      <c r="M72" s="46">
        <v>1.883</v>
      </c>
      <c r="N72" s="46">
        <v>25.0</v>
      </c>
      <c r="O72" s="42" t="s">
        <v>30</v>
      </c>
      <c r="P72" s="46">
        <v>13.0</v>
      </c>
      <c r="Q72" s="46"/>
      <c r="R72" s="47">
        <f t="array" ref="R72">INDIRECT("'renta'!G$"&amp;MATCH(O72,renta!$A:$A,0))*P72</f>
        <v>481</v>
      </c>
      <c r="S72" s="48">
        <f t="shared" si="7"/>
        <v>2220.798566</v>
      </c>
      <c r="T72" s="49" t="str">
        <f t="shared" si="4"/>
        <v>CLAY</v>
      </c>
      <c r="U72" s="50">
        <f t="shared" si="5"/>
        <v>0.5467299609</v>
      </c>
      <c r="V72" s="80"/>
      <c r="W72" s="52" t="str">
        <f t="shared" si="6"/>
        <v/>
      </c>
      <c r="X72" s="52"/>
      <c r="Y72" s="80">
        <v>146.0</v>
      </c>
      <c r="Z72" s="39">
        <v>0.0044907407407407405</v>
      </c>
      <c r="AA72" s="81" t="s">
        <v>489</v>
      </c>
      <c r="AB72" s="82" t="s">
        <v>490</v>
      </c>
      <c r="AC72" s="54" t="s">
        <v>263</v>
      </c>
      <c r="AD72" s="50"/>
      <c r="AE72" s="83"/>
      <c r="AF72" s="40" t="s">
        <v>407</v>
      </c>
      <c r="AG72" s="40" t="s">
        <v>491</v>
      </c>
      <c r="AH72" s="87">
        <v>31.0</v>
      </c>
      <c r="AI72" s="39"/>
    </row>
    <row r="73" hidden="1" outlineLevel="1">
      <c r="A73" s="58" t="s">
        <v>492</v>
      </c>
      <c r="B73" s="59">
        <v>2510.0</v>
      </c>
      <c r="C73" s="60">
        <v>0.10628472222222222</v>
      </c>
      <c r="D73" s="61">
        <f t="array" ref="D73">IFERROR(INDIRECT("'renta'!G$"&amp;MATCH(T73,renta!$A:$A,0))*0.975-(G73*INDIRECT("'renta'!G$"&amp;MATCH(F73,renta!$A:$A,0)))/B73-IFERROR((J73*INDIRECT("'renta'!G$"&amp;MATCH(I73,renta!$A:$A,0)))/B73,0),)</f>
        <v>0.007318843165</v>
      </c>
      <c r="E73" s="41">
        <f t="shared" si="1"/>
        <v>14.40336858</v>
      </c>
      <c r="F73" s="61" t="s">
        <v>18</v>
      </c>
      <c r="G73" s="62">
        <f t="shared" si="2"/>
        <v>23845</v>
      </c>
      <c r="H73" s="63" t="s">
        <v>493</v>
      </c>
      <c r="I73" s="64"/>
      <c r="J73" s="64"/>
      <c r="K73" s="64"/>
      <c r="L73" s="59" t="s">
        <v>137</v>
      </c>
      <c r="M73" s="65">
        <v>2.008</v>
      </c>
      <c r="N73" s="65">
        <v>25.0</v>
      </c>
      <c r="O73" s="66" t="s">
        <v>30</v>
      </c>
      <c r="P73" s="65">
        <v>15.0</v>
      </c>
      <c r="Q73" s="65"/>
      <c r="R73" s="67">
        <f t="array" ref="R73">INDIRECT("'renta'!G$"&amp;MATCH(O73,renta!$A:$A,0))*P73</f>
        <v>555</v>
      </c>
      <c r="S73" s="68">
        <f t="shared" si="7"/>
        <v>2775.798566</v>
      </c>
      <c r="T73" s="69" t="str">
        <f t="shared" si="4"/>
        <v>CLAY</v>
      </c>
      <c r="U73" s="70">
        <f t="shared" si="5"/>
        <v>0.4485160648</v>
      </c>
      <c r="V73" s="71"/>
      <c r="W73" s="72" t="str">
        <f t="shared" si="6"/>
        <v/>
      </c>
      <c r="X73" s="72"/>
      <c r="Y73" s="71">
        <v>157.0</v>
      </c>
      <c r="Z73" s="60">
        <v>0.004895833333333334</v>
      </c>
      <c r="AA73" s="85" t="s">
        <v>281</v>
      </c>
      <c r="AB73" s="74" t="s">
        <v>494</v>
      </c>
      <c r="AC73" s="75" t="s">
        <v>268</v>
      </c>
      <c r="AD73" s="70"/>
      <c r="AE73" s="76"/>
      <c r="AF73" s="61" t="s">
        <v>407</v>
      </c>
      <c r="AG73" s="61" t="s">
        <v>495</v>
      </c>
      <c r="AH73" s="86">
        <v>31.0</v>
      </c>
      <c r="AI73" s="60"/>
    </row>
    <row r="74" hidden="1" outlineLevel="1">
      <c r="A74" s="78" t="s">
        <v>496</v>
      </c>
      <c r="B74" s="38">
        <v>2660.0</v>
      </c>
      <c r="C74" s="39">
        <v>0.11083333333333334</v>
      </c>
      <c r="D74" s="40">
        <f t="array" ref="D74">IFERROR(INDIRECT("'renta'!G$"&amp;MATCH(T74,renta!$A:$A,0))*0.975-(G74*INDIRECT("'renta'!G$"&amp;MATCH(F74,renta!$A:$A,0)))/B74-IFERROR((J74*INDIRECT("'renta'!G$"&amp;MATCH(I74,renta!$A:$A,0)))/B74,0),)</f>
        <v>0.007318843165</v>
      </c>
      <c r="E74" s="41">
        <f t="shared" si="1"/>
        <v>14.63768633</v>
      </c>
      <c r="F74" s="40" t="s">
        <v>18</v>
      </c>
      <c r="G74" s="43">
        <f t="shared" si="2"/>
        <v>25270</v>
      </c>
      <c r="H74" s="44" t="s">
        <v>497</v>
      </c>
      <c r="I74" s="79"/>
      <c r="J74" s="79"/>
      <c r="K74" s="79"/>
      <c r="L74" s="38" t="s">
        <v>137</v>
      </c>
      <c r="M74" s="46">
        <v>2.128</v>
      </c>
      <c r="N74" s="46">
        <v>25.0</v>
      </c>
      <c r="O74" s="42" t="s">
        <v>30</v>
      </c>
      <c r="P74" s="46">
        <v>19.0</v>
      </c>
      <c r="Q74" s="46"/>
      <c r="R74" s="47">
        <f t="array" ref="R74">INDIRECT("'renta'!G$"&amp;MATCH(O74,renta!$A:$A,0))*P74</f>
        <v>703</v>
      </c>
      <c r="S74" s="48">
        <f t="shared" si="7"/>
        <v>3478.798566</v>
      </c>
      <c r="T74" s="49" t="str">
        <f t="shared" si="4"/>
        <v>CLAY</v>
      </c>
      <c r="U74" s="50">
        <f t="shared" si="5"/>
        <v>0.3333111652</v>
      </c>
      <c r="V74" s="80"/>
      <c r="W74" s="52" t="str">
        <f t="shared" si="6"/>
        <v/>
      </c>
      <c r="X74" s="52"/>
      <c r="Y74" s="80">
        <v>150.0</v>
      </c>
      <c r="Z74" s="39">
        <v>0.004548611111111111</v>
      </c>
      <c r="AA74" s="81" t="s">
        <v>498</v>
      </c>
      <c r="AB74" s="82" t="s">
        <v>499</v>
      </c>
      <c r="AC74" s="54" t="s">
        <v>278</v>
      </c>
      <c r="AD74" s="50"/>
      <c r="AE74" s="83"/>
      <c r="AF74" s="40" t="s">
        <v>407</v>
      </c>
      <c r="AG74" s="40" t="s">
        <v>500</v>
      </c>
      <c r="AH74" s="87">
        <v>31.0</v>
      </c>
      <c r="AI74" s="39"/>
    </row>
    <row r="75" hidden="1" outlineLevel="1">
      <c r="A75" s="58" t="s">
        <v>501</v>
      </c>
      <c r="B75" s="59">
        <v>2800.0</v>
      </c>
      <c r="C75" s="60">
        <v>0.11494212962962963</v>
      </c>
      <c r="D75" s="61">
        <f t="array" ref="D75">IFERROR(INDIRECT("'renta'!G$"&amp;MATCH(T75,renta!$A:$A,0))*0.975-(G75*INDIRECT("'renta'!G$"&amp;MATCH(F75,renta!$A:$A,0)))/B75-IFERROR((J75*INDIRECT("'renta'!G$"&amp;MATCH(I75,renta!$A:$A,0)))/B75,0),)</f>
        <v>0.007318843165</v>
      </c>
      <c r="E75" s="41">
        <f t="shared" si="1"/>
        <v>14.85730321</v>
      </c>
      <c r="F75" s="61" t="s">
        <v>18</v>
      </c>
      <c r="G75" s="62">
        <f t="shared" si="2"/>
        <v>26600</v>
      </c>
      <c r="H75" s="63" t="s">
        <v>502</v>
      </c>
      <c r="I75" s="64"/>
      <c r="J75" s="64"/>
      <c r="K75" s="64"/>
      <c r="L75" s="59" t="s">
        <v>137</v>
      </c>
      <c r="M75" s="65">
        <v>2.24</v>
      </c>
      <c r="N75" s="65">
        <v>25.0</v>
      </c>
      <c r="O75" s="66" t="s">
        <v>30</v>
      </c>
      <c r="P75" s="65">
        <v>22.0</v>
      </c>
      <c r="Q75" s="65"/>
      <c r="R75" s="67">
        <f t="array" ref="R75">INDIRECT("'renta'!G$"&amp;MATCH(O75,renta!$A:$A,0))*P75</f>
        <v>814</v>
      </c>
      <c r="S75" s="68">
        <f t="shared" si="7"/>
        <v>4292.798566</v>
      </c>
      <c r="T75" s="69" t="str">
        <f t="shared" si="4"/>
        <v>CLAY</v>
      </c>
      <c r="U75" s="70">
        <f t="shared" si="5"/>
        <v>0.2697996103</v>
      </c>
      <c r="V75" s="71"/>
      <c r="W75" s="72" t="str">
        <f t="shared" si="6"/>
        <v/>
      </c>
      <c r="X75" s="72"/>
      <c r="Y75" s="71">
        <v>140.0</v>
      </c>
      <c r="Z75" s="60">
        <v>0.004108796296296296</v>
      </c>
      <c r="AA75" s="85" t="s">
        <v>503</v>
      </c>
      <c r="AB75" s="74" t="s">
        <v>504</v>
      </c>
      <c r="AC75" s="75" t="s">
        <v>283</v>
      </c>
      <c r="AD75" s="70"/>
      <c r="AE75" s="76"/>
      <c r="AF75" s="61" t="s">
        <v>407</v>
      </c>
      <c r="AG75" s="61" t="s">
        <v>505</v>
      </c>
      <c r="AH75" s="86">
        <v>31.0</v>
      </c>
      <c r="AI75" s="60"/>
    </row>
    <row r="76" hidden="1" outlineLevel="1">
      <c r="A76" s="78" t="s">
        <v>506</v>
      </c>
      <c r="B76" s="38">
        <v>2940.0</v>
      </c>
      <c r="C76" s="39">
        <v>0.11899305555555556</v>
      </c>
      <c r="D76" s="40">
        <f t="array" ref="D76">IFERROR(INDIRECT("'renta'!G$"&amp;MATCH(T76,renta!$A:$A,0))*0.975-(G76*INDIRECT("'renta'!G$"&amp;MATCH(F76,renta!$A:$A,0)))/B76-IFERROR((J76*INDIRECT("'renta'!G$"&amp;MATCH(I76,renta!$A:$A,0)))/B76,0),)</f>
        <v>0.007318843165</v>
      </c>
      <c r="E76" s="41">
        <f t="shared" si="1"/>
        <v>15.0690859</v>
      </c>
      <c r="F76" s="40" t="s">
        <v>18</v>
      </c>
      <c r="G76" s="43">
        <f t="shared" si="2"/>
        <v>27930</v>
      </c>
      <c r="H76" s="44" t="s">
        <v>507</v>
      </c>
      <c r="I76" s="79"/>
      <c r="J76" s="79"/>
      <c r="K76" s="79"/>
      <c r="L76" s="38" t="s">
        <v>137</v>
      </c>
      <c r="M76" s="46">
        <v>2.352</v>
      </c>
      <c r="N76" s="46">
        <v>25.0</v>
      </c>
      <c r="O76" s="42" t="s">
        <v>30</v>
      </c>
      <c r="P76" s="46">
        <v>27.0</v>
      </c>
      <c r="Q76" s="46"/>
      <c r="R76" s="47">
        <f t="array" ref="R76">INDIRECT("'renta'!G$"&amp;MATCH(O76,renta!$A:$A,0))*P76</f>
        <v>999</v>
      </c>
      <c r="S76" s="48">
        <f t="shared" si="7"/>
        <v>5291.798566</v>
      </c>
      <c r="T76" s="49" t="str">
        <f t="shared" si="4"/>
        <v>CLAY</v>
      </c>
      <c r="U76" s="50">
        <f t="shared" si="5"/>
        <v>0.2119946798</v>
      </c>
      <c r="V76" s="80"/>
      <c r="W76" s="52" t="str">
        <f t="shared" si="6"/>
        <v/>
      </c>
      <c r="X76" s="52"/>
      <c r="Y76" s="80">
        <v>140.0</v>
      </c>
      <c r="Z76" s="39">
        <v>0.004050925925925926</v>
      </c>
      <c r="AA76" s="81" t="s">
        <v>508</v>
      </c>
      <c r="AB76" s="82" t="s">
        <v>509</v>
      </c>
      <c r="AC76" s="54" t="s">
        <v>288</v>
      </c>
      <c r="AD76" s="50"/>
      <c r="AE76" s="83"/>
      <c r="AF76" s="40" t="s">
        <v>407</v>
      </c>
      <c r="AG76" s="40" t="s">
        <v>510</v>
      </c>
      <c r="AH76" s="87">
        <v>31.0</v>
      </c>
      <c r="AI76" s="39"/>
    </row>
    <row r="77" hidden="1" outlineLevel="1">
      <c r="A77" s="58" t="s">
        <v>511</v>
      </c>
      <c r="B77" s="59">
        <v>3075.0</v>
      </c>
      <c r="C77" s="60">
        <v>0.12278935185185186</v>
      </c>
      <c r="D77" s="61">
        <f t="array" ref="D77">IFERROR(INDIRECT("'renta'!G$"&amp;MATCH(T77,renta!$A:$A,0))*0.975-(G77*INDIRECT("'renta'!G$"&amp;MATCH(F77,renta!$A:$A,0)))/B77-IFERROR((J77*INDIRECT("'renta'!G$"&amp;MATCH(I77,renta!$A:$A,0)))/B77,0),)</f>
        <v>0.007318843165</v>
      </c>
      <c r="E77" s="41">
        <f t="shared" si="1"/>
        <v>15.27374754</v>
      </c>
      <c r="F77" s="61" t="s">
        <v>18</v>
      </c>
      <c r="G77" s="62">
        <f t="shared" si="2"/>
        <v>29212.5</v>
      </c>
      <c r="H77" s="63" t="s">
        <v>512</v>
      </c>
      <c r="I77" s="64"/>
      <c r="J77" s="64"/>
      <c r="K77" s="64"/>
      <c r="L77" s="59" t="s">
        <v>137</v>
      </c>
      <c r="M77" s="65">
        <v>2.46</v>
      </c>
      <c r="N77" s="65">
        <v>25.0</v>
      </c>
      <c r="O77" s="66" t="s">
        <v>30</v>
      </c>
      <c r="P77" s="65">
        <v>32.0</v>
      </c>
      <c r="Q77" s="65"/>
      <c r="R77" s="67">
        <f t="array" ref="R77">INDIRECT("'renta'!G$"&amp;MATCH(O77,renta!$A:$A,0))*P77</f>
        <v>1184</v>
      </c>
      <c r="S77" s="68">
        <f t="shared" si="7"/>
        <v>6475.798566</v>
      </c>
      <c r="T77" s="69" t="str">
        <f t="shared" si="4"/>
        <v>CLAY</v>
      </c>
      <c r="U77" s="70">
        <f t="shared" si="5"/>
        <v>0.1728561183</v>
      </c>
      <c r="V77" s="71"/>
      <c r="W77" s="72" t="str">
        <f t="shared" si="6"/>
        <v/>
      </c>
      <c r="X77" s="72"/>
      <c r="Y77" s="71">
        <v>135.0</v>
      </c>
      <c r="Z77" s="60">
        <v>0.0037962962962962963</v>
      </c>
      <c r="AA77" s="85" t="s">
        <v>513</v>
      </c>
      <c r="AB77" s="74" t="s">
        <v>514</v>
      </c>
      <c r="AC77" s="75" t="s">
        <v>298</v>
      </c>
      <c r="AD77" s="70"/>
      <c r="AE77" s="76"/>
      <c r="AF77" s="61" t="s">
        <v>407</v>
      </c>
      <c r="AG77" s="61" t="s">
        <v>515</v>
      </c>
      <c r="AH77" s="86">
        <v>31.0</v>
      </c>
      <c r="AI77" s="60"/>
    </row>
    <row r="78" hidden="1" outlineLevel="1">
      <c r="A78" s="78" t="s">
        <v>516</v>
      </c>
      <c r="B78" s="38">
        <v>3205.0</v>
      </c>
      <c r="C78" s="39">
        <v>0.1263425925925926</v>
      </c>
      <c r="D78" s="40">
        <f t="array" ref="D78">IFERROR(INDIRECT("'renta'!G$"&amp;MATCH(T78,renta!$A:$A,0))*0.975-(G78*INDIRECT("'renta'!G$"&amp;MATCH(F78,renta!$A:$A,0)))/B78-IFERROR((J78*INDIRECT("'renta'!G$"&amp;MATCH(I78,renta!$A:$A,0)))/B78,0),)</f>
        <v>0.007318843165</v>
      </c>
      <c r="E78" s="41">
        <f t="shared" si="1"/>
        <v>15.47175017</v>
      </c>
      <c r="F78" s="40" t="s">
        <v>18</v>
      </c>
      <c r="G78" s="43">
        <f t="shared" si="2"/>
        <v>30447.5</v>
      </c>
      <c r="H78" s="44" t="s">
        <v>517</v>
      </c>
      <c r="I78" s="79"/>
      <c r="J78" s="79"/>
      <c r="K78" s="79"/>
      <c r="L78" s="38" t="s">
        <v>137</v>
      </c>
      <c r="M78" s="46">
        <v>2.564</v>
      </c>
      <c r="N78" s="46">
        <v>25.0</v>
      </c>
      <c r="O78" s="42" t="s">
        <v>30</v>
      </c>
      <c r="P78" s="46">
        <v>37.0</v>
      </c>
      <c r="Q78" s="46"/>
      <c r="R78" s="47">
        <f t="array" ref="R78">INDIRECT("'renta'!G$"&amp;MATCH(O78,renta!$A:$A,0))*P78</f>
        <v>1369</v>
      </c>
      <c r="S78" s="48">
        <f t="shared" si="7"/>
        <v>7844.798566</v>
      </c>
      <c r="T78" s="49" t="str">
        <f t="shared" si="4"/>
        <v>CLAY</v>
      </c>
      <c r="U78" s="50">
        <f t="shared" si="5"/>
        <v>0.1446330386</v>
      </c>
      <c r="V78" s="80"/>
      <c r="W78" s="52" t="str">
        <f t="shared" si="6"/>
        <v/>
      </c>
      <c r="X78" s="52"/>
      <c r="Y78" s="80">
        <v>130.0</v>
      </c>
      <c r="Z78" s="39">
        <v>0.003553240740740741</v>
      </c>
      <c r="AA78" s="81" t="s">
        <v>518</v>
      </c>
      <c r="AB78" s="82" t="s">
        <v>519</v>
      </c>
      <c r="AC78" s="54" t="s">
        <v>303</v>
      </c>
      <c r="AD78" s="50"/>
      <c r="AE78" s="83"/>
      <c r="AF78" s="40" t="s">
        <v>407</v>
      </c>
      <c r="AG78" s="40" t="s">
        <v>520</v>
      </c>
      <c r="AH78" s="87">
        <v>31.0</v>
      </c>
      <c r="AI78" s="39"/>
    </row>
    <row r="79" hidden="1" outlineLevel="1">
      <c r="A79" s="58" t="s">
        <v>521</v>
      </c>
      <c r="B79" s="59">
        <v>3335.0</v>
      </c>
      <c r="C79" s="60">
        <v>0.1298726851851852</v>
      </c>
      <c r="D79" s="61">
        <f t="array" ref="D79">IFERROR(INDIRECT("'renta'!G$"&amp;MATCH(T79,renta!$A:$A,0))*0.975-(G79*INDIRECT("'renta'!G$"&amp;MATCH(F79,renta!$A:$A,0)))/B79-IFERROR((J79*INDIRECT("'renta'!G$"&amp;MATCH(I79,renta!$A:$A,0)))/B79,0),)</f>
        <v>0.007318843165</v>
      </c>
      <c r="E79" s="41">
        <f t="shared" si="1"/>
        <v>15.66171126</v>
      </c>
      <c r="F79" s="61" t="s">
        <v>18</v>
      </c>
      <c r="G79" s="62">
        <f t="shared" si="2"/>
        <v>31682.5</v>
      </c>
      <c r="H79" s="63" t="s">
        <v>522</v>
      </c>
      <c r="I79" s="64"/>
      <c r="J79" s="64"/>
      <c r="K79" s="64"/>
      <c r="L79" s="59" t="s">
        <v>137</v>
      </c>
      <c r="M79" s="65">
        <v>2.668</v>
      </c>
      <c r="N79" s="65">
        <v>25.0</v>
      </c>
      <c r="O79" s="66" t="s">
        <v>30</v>
      </c>
      <c r="P79" s="65">
        <v>44.0</v>
      </c>
      <c r="Q79" s="65"/>
      <c r="R79" s="67">
        <f t="array" ref="R79">INDIRECT("'renta'!G$"&amp;MATCH(O79,renta!$A:$A,0))*P79</f>
        <v>1628</v>
      </c>
      <c r="S79" s="68">
        <f t="shared" si="7"/>
        <v>9472.798566</v>
      </c>
      <c r="T79" s="69" t="str">
        <f t="shared" si="4"/>
        <v>CLAY</v>
      </c>
      <c r="U79" s="70">
        <f t="shared" si="5"/>
        <v>0.1166837167</v>
      </c>
      <c r="V79" s="71"/>
      <c r="W79" s="72" t="str">
        <f t="shared" si="6"/>
        <v/>
      </c>
      <c r="X79" s="72"/>
      <c r="Y79" s="71">
        <v>130.0</v>
      </c>
      <c r="Z79" s="60">
        <v>0.0035300925925925925</v>
      </c>
      <c r="AA79" s="85" t="s">
        <v>326</v>
      </c>
      <c r="AB79" s="74" t="s">
        <v>523</v>
      </c>
      <c r="AC79" s="75" t="s">
        <v>308</v>
      </c>
      <c r="AD79" s="70"/>
      <c r="AE79" s="76"/>
      <c r="AF79" s="61" t="s">
        <v>407</v>
      </c>
      <c r="AG79" s="61" t="s">
        <v>524</v>
      </c>
      <c r="AH79" s="86">
        <v>31.0</v>
      </c>
      <c r="AI79" s="60"/>
    </row>
    <row r="80" hidden="1" outlineLevel="1">
      <c r="A80" s="78" t="s">
        <v>525</v>
      </c>
      <c r="B80" s="38">
        <v>3460.0</v>
      </c>
      <c r="C80" s="39">
        <v>0.13318287037037038</v>
      </c>
      <c r="D80" s="40">
        <f t="array" ref="D80">IFERROR(INDIRECT("'renta'!G$"&amp;MATCH(T80,renta!$A:$A,0))*0.975-(G80*INDIRECT("'renta'!G$"&amp;MATCH(F80,renta!$A:$A,0)))/B80-IFERROR((J80*INDIRECT("'renta'!G$"&amp;MATCH(I80,renta!$A:$A,0)))/B80,0),)</f>
        <v>0.007318843165</v>
      </c>
      <c r="E80" s="41">
        <f t="shared" si="1"/>
        <v>15.84487885</v>
      </c>
      <c r="F80" s="40" t="s">
        <v>18</v>
      </c>
      <c r="G80" s="43">
        <f t="shared" si="2"/>
        <v>32870</v>
      </c>
      <c r="H80" s="44" t="s">
        <v>526</v>
      </c>
      <c r="I80" s="79"/>
      <c r="J80" s="79"/>
      <c r="K80" s="79"/>
      <c r="L80" s="38" t="s">
        <v>137</v>
      </c>
      <c r="M80" s="46">
        <v>2.768</v>
      </c>
      <c r="N80" s="46">
        <v>25.0</v>
      </c>
      <c r="O80" s="42" t="s">
        <v>30</v>
      </c>
      <c r="P80" s="46">
        <v>52.0</v>
      </c>
      <c r="Q80" s="46"/>
      <c r="R80" s="47">
        <f t="array" ref="R80">INDIRECT("'renta'!G$"&amp;MATCH(O80,renta!$A:$A,0))*P80</f>
        <v>1924</v>
      </c>
      <c r="S80" s="48">
        <f t="shared" si="7"/>
        <v>11396.79857</v>
      </c>
      <c r="T80" s="49" t="str">
        <f t="shared" si="4"/>
        <v>CLAY</v>
      </c>
      <c r="U80" s="50">
        <f t="shared" si="5"/>
        <v>0.09520144872</v>
      </c>
      <c r="V80" s="80"/>
      <c r="W80" s="52" t="str">
        <f t="shared" si="6"/>
        <v/>
      </c>
      <c r="X80" s="52"/>
      <c r="Y80" s="80">
        <v>125.0</v>
      </c>
      <c r="Z80" s="39">
        <v>0.003310185185185185</v>
      </c>
      <c r="AA80" s="81" t="s">
        <v>527</v>
      </c>
      <c r="AB80" s="82" t="s">
        <v>528</v>
      </c>
      <c r="AC80" s="54" t="s">
        <v>313</v>
      </c>
      <c r="AD80" s="50"/>
      <c r="AE80" s="83"/>
      <c r="AF80" s="40" t="s">
        <v>407</v>
      </c>
      <c r="AG80" s="40" t="s">
        <v>529</v>
      </c>
      <c r="AH80" s="87">
        <v>31.0</v>
      </c>
      <c r="AI80" s="39"/>
    </row>
    <row r="81" hidden="1" outlineLevel="1">
      <c r="A81" s="58" t="s">
        <v>530</v>
      </c>
      <c r="B81" s="59">
        <v>3585.0</v>
      </c>
      <c r="C81" s="60">
        <v>0.13648148148148148</v>
      </c>
      <c r="D81" s="61">
        <f t="array" ref="D81">IFERROR(INDIRECT("'renta'!G$"&amp;MATCH(T81,renta!$A:$A,0))*0.975-(G81*INDIRECT("'renta'!G$"&amp;MATCH(F81,renta!$A:$A,0)))/B81-IFERROR((J81*INDIRECT("'renta'!G$"&amp;MATCH(I81,renta!$A:$A,0)))/B81,0),)</f>
        <v>0.007318843165</v>
      </c>
      <c r="E81" s="41">
        <f t="shared" si="1"/>
        <v>16.02052067</v>
      </c>
      <c r="F81" s="61" t="s">
        <v>18</v>
      </c>
      <c r="G81" s="62">
        <f t="shared" si="2"/>
        <v>34057.5</v>
      </c>
      <c r="H81" s="63" t="s">
        <v>531</v>
      </c>
      <c r="I81" s="64"/>
      <c r="J81" s="64"/>
      <c r="K81" s="64"/>
      <c r="L81" s="59" t="s">
        <v>137</v>
      </c>
      <c r="M81" s="65">
        <v>2.868</v>
      </c>
      <c r="N81" s="65">
        <v>25.0</v>
      </c>
      <c r="O81" s="66" t="s">
        <v>30</v>
      </c>
      <c r="P81" s="65">
        <v>61.0</v>
      </c>
      <c r="Q81" s="65"/>
      <c r="R81" s="67">
        <f t="array" ref="R81">INDIRECT("'renta'!G$"&amp;MATCH(O81,renta!$A:$A,0))*P81</f>
        <v>2257</v>
      </c>
      <c r="S81" s="68">
        <f t="shared" si="7"/>
        <v>13653.79857</v>
      </c>
      <c r="T81" s="69" t="str">
        <f t="shared" si="4"/>
        <v>CLAY</v>
      </c>
      <c r="U81" s="70">
        <f t="shared" si="5"/>
        <v>0.07782092289</v>
      </c>
      <c r="V81" s="71"/>
      <c r="W81" s="72" t="str">
        <f t="shared" si="6"/>
        <v/>
      </c>
      <c r="X81" s="72"/>
      <c r="Y81" s="71">
        <v>125.0</v>
      </c>
      <c r="Z81" s="60">
        <v>0.003298611111111111</v>
      </c>
      <c r="AA81" s="85" t="s">
        <v>341</v>
      </c>
      <c r="AB81" s="74" t="s">
        <v>532</v>
      </c>
      <c r="AC81" s="75" t="s">
        <v>323</v>
      </c>
      <c r="AD81" s="70"/>
      <c r="AE81" s="76"/>
      <c r="AF81" s="61" t="s">
        <v>407</v>
      </c>
      <c r="AG81" s="61" t="s">
        <v>533</v>
      </c>
      <c r="AH81" s="86">
        <v>31.0</v>
      </c>
      <c r="AI81" s="60"/>
    </row>
    <row r="82" hidden="1" outlineLevel="1">
      <c r="A82" s="78" t="s">
        <v>534</v>
      </c>
      <c r="B82" s="38">
        <v>3705.0</v>
      </c>
      <c r="C82" s="39">
        <v>0.13958333333333334</v>
      </c>
      <c r="D82" s="40">
        <f t="array" ref="D82">IFERROR(INDIRECT("'renta'!G$"&amp;MATCH(T82,renta!$A:$A,0))*0.975-(G82*INDIRECT("'renta'!G$"&amp;MATCH(F82,renta!$A:$A,0)))/B82-IFERROR((J82*INDIRECT("'renta'!G$"&amp;MATCH(I82,renta!$A:$A,0)))/B82,0),)</f>
        <v>0.007318843165</v>
      </c>
      <c r="E82" s="41">
        <f t="shared" si="1"/>
        <v>16.18884414</v>
      </c>
      <c r="F82" s="40" t="s">
        <v>18</v>
      </c>
      <c r="G82" s="43">
        <f t="shared" si="2"/>
        <v>35197.5</v>
      </c>
      <c r="H82" s="44" t="s">
        <v>535</v>
      </c>
      <c r="I82" s="79"/>
      <c r="J82" s="79"/>
      <c r="K82" s="79"/>
      <c r="L82" s="38" t="s">
        <v>137</v>
      </c>
      <c r="M82" s="46">
        <v>2.964</v>
      </c>
      <c r="N82" s="46">
        <v>25.0</v>
      </c>
      <c r="O82" s="42" t="s">
        <v>30</v>
      </c>
      <c r="P82" s="46">
        <v>71.0</v>
      </c>
      <c r="Q82" s="46"/>
      <c r="R82" s="47">
        <f t="array" ref="R82">INDIRECT("'renta'!G$"&amp;MATCH(O82,renta!$A:$A,0))*P82</f>
        <v>2627</v>
      </c>
      <c r="S82" s="48">
        <f t="shared" si="7"/>
        <v>16280.79857</v>
      </c>
      <c r="T82" s="49" t="str">
        <f t="shared" si="4"/>
        <v>CLAY</v>
      </c>
      <c r="U82" s="50">
        <f t="shared" si="5"/>
        <v>0.0640744051</v>
      </c>
      <c r="V82" s="80"/>
      <c r="W82" s="52" t="str">
        <f t="shared" si="6"/>
        <v/>
      </c>
      <c r="X82" s="52"/>
      <c r="Y82" s="80">
        <v>120.0</v>
      </c>
      <c r="Z82" s="39">
        <v>0.0031018518518518517</v>
      </c>
      <c r="AA82" s="81" t="s">
        <v>351</v>
      </c>
      <c r="AB82" s="82" t="s">
        <v>536</v>
      </c>
      <c r="AC82" s="54" t="s">
        <v>328</v>
      </c>
      <c r="AD82" s="50"/>
      <c r="AE82" s="83"/>
      <c r="AF82" s="40" t="s">
        <v>407</v>
      </c>
      <c r="AG82" s="40" t="s">
        <v>537</v>
      </c>
      <c r="AH82" s="87">
        <v>31.0</v>
      </c>
      <c r="AI82" s="39"/>
    </row>
    <row r="83" hidden="1" outlineLevel="1">
      <c r="A83" s="58" t="s">
        <v>538</v>
      </c>
      <c r="B83" s="59">
        <v>3820.0</v>
      </c>
      <c r="C83" s="60">
        <v>0.1425</v>
      </c>
      <c r="D83" s="61">
        <f t="array" ref="D83">IFERROR(INDIRECT("'renta'!G$"&amp;MATCH(T83,renta!$A:$A,0))*0.975-(G83*INDIRECT("'renta'!G$"&amp;MATCH(F83,renta!$A:$A,0)))/B83-IFERROR((J83*INDIRECT("'renta'!G$"&amp;MATCH(I83,renta!$A:$A,0)))/B83,0),)</f>
        <v>0.007318843165</v>
      </c>
      <c r="E83" s="41">
        <f t="shared" si="1"/>
        <v>16.34969643</v>
      </c>
      <c r="F83" s="61" t="s">
        <v>18</v>
      </c>
      <c r="G83" s="62">
        <f t="shared" si="2"/>
        <v>36290</v>
      </c>
      <c r="H83" s="63" t="s">
        <v>539</v>
      </c>
      <c r="I83" s="64"/>
      <c r="J83" s="64"/>
      <c r="K83" s="64"/>
      <c r="L83" s="59" t="s">
        <v>137</v>
      </c>
      <c r="M83" s="65">
        <v>3.056</v>
      </c>
      <c r="N83" s="65">
        <v>25.0</v>
      </c>
      <c r="O83" s="66" t="s">
        <v>30</v>
      </c>
      <c r="P83" s="65">
        <v>83.0</v>
      </c>
      <c r="Q83" s="65"/>
      <c r="R83" s="67">
        <f t="array" ref="R83">INDIRECT("'renta'!G$"&amp;MATCH(O83,renta!$A:$A,0))*P83</f>
        <v>3071</v>
      </c>
      <c r="S83" s="68">
        <f t="shared" si="7"/>
        <v>19351.79857</v>
      </c>
      <c r="T83" s="69" t="str">
        <f t="shared" si="4"/>
        <v>CLAY</v>
      </c>
      <c r="U83" s="70">
        <f t="shared" si="5"/>
        <v>0.05237782219</v>
      </c>
      <c r="V83" s="71"/>
      <c r="W83" s="72" t="str">
        <f t="shared" si="6"/>
        <v/>
      </c>
      <c r="X83" s="72"/>
      <c r="Y83" s="71">
        <v>115.0</v>
      </c>
      <c r="Z83" s="60">
        <v>0.002916666666666667</v>
      </c>
      <c r="AA83" s="85" t="s">
        <v>540</v>
      </c>
      <c r="AB83" s="74" t="s">
        <v>541</v>
      </c>
      <c r="AC83" s="75" t="s">
        <v>333</v>
      </c>
      <c r="AD83" s="70"/>
      <c r="AE83" s="76"/>
      <c r="AF83" s="61" t="s">
        <v>407</v>
      </c>
      <c r="AG83" s="61" t="s">
        <v>542</v>
      </c>
      <c r="AH83" s="86">
        <v>31.0</v>
      </c>
      <c r="AI83" s="60"/>
    </row>
    <row r="84" hidden="1" outlineLevel="1">
      <c r="A84" s="78" t="s">
        <v>543</v>
      </c>
      <c r="B84" s="38">
        <v>3935.0</v>
      </c>
      <c r="C84" s="39">
        <v>0.14541666666666667</v>
      </c>
      <c r="D84" s="40">
        <f t="array" ref="D84">IFERROR(INDIRECT("'renta'!G$"&amp;MATCH(T84,renta!$A:$A,0))*0.975-(G84*INDIRECT("'renta'!G$"&amp;MATCH(F84,renta!$A:$A,0)))/B84-IFERROR((J84*INDIRECT("'renta'!G$"&amp;MATCH(I84,renta!$A:$A,0)))/B84,0),)</f>
        <v>0.007318843165</v>
      </c>
      <c r="E84" s="41">
        <f t="shared" si="1"/>
        <v>16.50409619</v>
      </c>
      <c r="F84" s="40" t="s">
        <v>18</v>
      </c>
      <c r="G84" s="43">
        <f t="shared" si="2"/>
        <v>37382.5</v>
      </c>
      <c r="H84" s="44" t="s">
        <v>544</v>
      </c>
      <c r="I84" s="79"/>
      <c r="J84" s="79"/>
      <c r="K84" s="79"/>
      <c r="L84" s="38" t="s">
        <v>137</v>
      </c>
      <c r="M84" s="46">
        <v>3.148</v>
      </c>
      <c r="N84" s="46">
        <v>25.0</v>
      </c>
      <c r="O84" s="42" t="s">
        <v>30</v>
      </c>
      <c r="P84" s="46">
        <v>98.0</v>
      </c>
      <c r="Q84" s="46"/>
      <c r="R84" s="47">
        <f t="array" ref="R84">INDIRECT("'renta'!G$"&amp;MATCH(O84,renta!$A:$A,0))*P84</f>
        <v>3626</v>
      </c>
      <c r="S84" s="48">
        <f t="shared" si="7"/>
        <v>22977.79857</v>
      </c>
      <c r="T84" s="49" t="str">
        <f t="shared" si="4"/>
        <v>CLAY</v>
      </c>
      <c r="U84" s="50">
        <f t="shared" si="5"/>
        <v>0.04258129192</v>
      </c>
      <c r="V84" s="80"/>
      <c r="W84" s="52" t="str">
        <f t="shared" si="6"/>
        <v/>
      </c>
      <c r="X84" s="52"/>
      <c r="Y84" s="80">
        <v>115.0</v>
      </c>
      <c r="Z84" s="39">
        <v>0.002928240740740741</v>
      </c>
      <c r="AA84" s="81" t="s">
        <v>545</v>
      </c>
      <c r="AB84" s="82" t="s">
        <v>546</v>
      </c>
      <c r="AC84" s="54" t="s">
        <v>343</v>
      </c>
      <c r="AD84" s="50"/>
      <c r="AE84" s="83"/>
      <c r="AF84" s="40" t="s">
        <v>407</v>
      </c>
      <c r="AG84" s="40" t="s">
        <v>547</v>
      </c>
      <c r="AH84" s="87">
        <v>31.0</v>
      </c>
      <c r="AI84" s="39"/>
    </row>
    <row r="85" hidden="1" outlineLevel="1">
      <c r="A85" s="58" t="s">
        <v>548</v>
      </c>
      <c r="B85" s="59">
        <v>4050.0</v>
      </c>
      <c r="C85" s="60">
        <v>0.14835648148148148</v>
      </c>
      <c r="D85" s="61">
        <f t="array" ref="D85">IFERROR(INDIRECT("'renta'!G$"&amp;MATCH(T85,renta!$A:$A,0))*0.975-(G85*INDIRECT("'renta'!G$"&amp;MATCH(F85,renta!$A:$A,0)))/B85-IFERROR((J85*INDIRECT("'renta'!G$"&amp;MATCH(I85,renta!$A:$A,0)))/B85,0),)</f>
        <v>0.007318843165</v>
      </c>
      <c r="E85" s="41">
        <f t="shared" si="1"/>
        <v>16.64982577</v>
      </c>
      <c r="F85" s="61" t="s">
        <v>18</v>
      </c>
      <c r="G85" s="62">
        <f t="shared" si="2"/>
        <v>38475</v>
      </c>
      <c r="H85" s="63" t="s">
        <v>549</v>
      </c>
      <c r="I85" s="64"/>
      <c r="J85" s="64"/>
      <c r="K85" s="64"/>
      <c r="L85" s="59" t="s">
        <v>137</v>
      </c>
      <c r="M85" s="65">
        <v>3.24</v>
      </c>
      <c r="N85" s="65">
        <v>25.0</v>
      </c>
      <c r="O85" s="66" t="s">
        <v>34</v>
      </c>
      <c r="P85" s="65">
        <v>38.0</v>
      </c>
      <c r="Q85" s="65"/>
      <c r="R85" s="67">
        <f t="array" ref="R85">INDIRECT("'renta'!G$"&amp;MATCH(O85,renta!$A:$A,0))*P85</f>
        <v>5041.921814</v>
      </c>
      <c r="S85" s="68">
        <f t="shared" si="7"/>
        <v>28019.72038</v>
      </c>
      <c r="T85" s="69" t="str">
        <f t="shared" si="4"/>
        <v>CLAY</v>
      </c>
      <c r="U85" s="70">
        <f t="shared" si="5"/>
        <v>0.02890357716</v>
      </c>
      <c r="V85" s="71"/>
      <c r="W85" s="72" t="str">
        <f t="shared" si="6"/>
        <v/>
      </c>
      <c r="X85" s="72"/>
      <c r="Y85" s="71">
        <v>115.0</v>
      </c>
      <c r="Z85" s="60">
        <v>0.002939814814814815</v>
      </c>
      <c r="AA85" s="85" t="s">
        <v>550</v>
      </c>
      <c r="AB85" s="74" t="s">
        <v>551</v>
      </c>
      <c r="AC85" s="75" t="s">
        <v>348</v>
      </c>
      <c r="AD85" s="70"/>
      <c r="AE85" s="76"/>
      <c r="AF85" s="61" t="s">
        <v>407</v>
      </c>
      <c r="AG85" s="61" t="s">
        <v>552</v>
      </c>
      <c r="AH85" s="86">
        <v>31.0</v>
      </c>
      <c r="AI85" s="60"/>
    </row>
    <row r="86" hidden="1" outlineLevel="1">
      <c r="A86" s="78" t="s">
        <v>553</v>
      </c>
      <c r="B86" s="38">
        <v>4160.0</v>
      </c>
      <c r="C86" s="39">
        <v>0.15112268518518518</v>
      </c>
      <c r="D86" s="40">
        <f t="array" ref="D86">IFERROR(INDIRECT("'renta'!G$"&amp;MATCH(T86,renta!$A:$A,0))*0.975-(G86*INDIRECT("'renta'!G$"&amp;MATCH(F86,renta!$A:$A,0)))/B86-IFERROR((J86*INDIRECT("'renta'!G$"&amp;MATCH(I86,renta!$A:$A,0)))/B86,0),)</f>
        <v>0.007318843165</v>
      </c>
      <c r="E86" s="41">
        <f t="shared" si="1"/>
        <v>16.78900134</v>
      </c>
      <c r="F86" s="40" t="s">
        <v>18</v>
      </c>
      <c r="G86" s="43">
        <f t="shared" si="2"/>
        <v>39520</v>
      </c>
      <c r="H86" s="44" t="s">
        <v>554</v>
      </c>
      <c r="I86" s="79"/>
      <c r="J86" s="79"/>
      <c r="K86" s="79"/>
      <c r="L86" s="38" t="s">
        <v>137</v>
      </c>
      <c r="M86" s="46">
        <v>3.328</v>
      </c>
      <c r="N86" s="46">
        <v>25.0</v>
      </c>
      <c r="O86" s="42" t="s">
        <v>34</v>
      </c>
      <c r="P86" s="46">
        <v>44.0</v>
      </c>
      <c r="Q86" s="46"/>
      <c r="R86" s="47">
        <f t="array" ref="R86">INDIRECT("'renta'!G$"&amp;MATCH(O86,renta!$A:$A,0))*P86</f>
        <v>5838.014733</v>
      </c>
      <c r="S86" s="48">
        <f t="shared" si="7"/>
        <v>33857.73511</v>
      </c>
      <c r="T86" s="49" t="str">
        <f t="shared" si="4"/>
        <v>CLAY</v>
      </c>
      <c r="U86" s="50">
        <f t="shared" si="5"/>
        <v>0.02383953744</v>
      </c>
      <c r="V86" s="80"/>
      <c r="W86" s="52" t="str">
        <f t="shared" si="6"/>
        <v/>
      </c>
      <c r="X86" s="52"/>
      <c r="Y86" s="80">
        <v>110.0</v>
      </c>
      <c r="Z86" s="39">
        <v>0.002766203703703704</v>
      </c>
      <c r="AA86" s="81" t="s">
        <v>555</v>
      </c>
      <c r="AB86" s="82" t="s">
        <v>556</v>
      </c>
      <c r="AC86" s="54" t="s">
        <v>353</v>
      </c>
      <c r="AD86" s="50"/>
      <c r="AE86" s="83"/>
      <c r="AF86" s="40" t="s">
        <v>407</v>
      </c>
      <c r="AG86" s="40" t="s">
        <v>557</v>
      </c>
      <c r="AH86" s="87">
        <v>31.0</v>
      </c>
      <c r="AI86" s="39"/>
    </row>
    <row r="87" hidden="1" outlineLevel="1">
      <c r="A87" s="58" t="s">
        <v>558</v>
      </c>
      <c r="B87" s="59">
        <v>4265.0</v>
      </c>
      <c r="C87" s="60">
        <v>0.15372685185185186</v>
      </c>
      <c r="D87" s="61">
        <f t="array" ref="D87">IFERROR(INDIRECT("'renta'!G$"&amp;MATCH(T87,renta!$A:$A,0))*0.975-(G87*INDIRECT("'renta'!G$"&amp;MATCH(F87,renta!$A:$A,0)))/B87-IFERROR((J87*INDIRECT("'renta'!G$"&amp;MATCH(I87,renta!$A:$A,0)))/B87,0),)</f>
        <v>0.007318843165</v>
      </c>
      <c r="E87" s="41">
        <f t="shared" si="1"/>
        <v>16.92117421</v>
      </c>
      <c r="F87" s="61" t="s">
        <v>18</v>
      </c>
      <c r="G87" s="62">
        <f t="shared" si="2"/>
        <v>40517.5</v>
      </c>
      <c r="H87" s="63" t="s">
        <v>559</v>
      </c>
      <c r="I87" s="64"/>
      <c r="J87" s="64"/>
      <c r="K87" s="64"/>
      <c r="L87" s="59" t="s">
        <v>137</v>
      </c>
      <c r="M87" s="65">
        <v>3.412</v>
      </c>
      <c r="N87" s="65">
        <v>25.0</v>
      </c>
      <c r="O87" s="66" t="s">
        <v>34</v>
      </c>
      <c r="P87" s="65">
        <v>52.0</v>
      </c>
      <c r="Q87" s="65"/>
      <c r="R87" s="67">
        <f t="array" ref="R87">INDIRECT("'renta'!G$"&amp;MATCH(O87,renta!$A:$A,0))*P87</f>
        <v>6899.471957</v>
      </c>
      <c r="S87" s="68">
        <f t="shared" si="7"/>
        <v>40757.20707</v>
      </c>
      <c r="T87" s="69" t="str">
        <f t="shared" si="4"/>
        <v>CLAY</v>
      </c>
      <c r="U87" s="70">
        <f t="shared" si="5"/>
        <v>0.01915695524</v>
      </c>
      <c r="V87" s="71"/>
      <c r="W87" s="72" t="str">
        <f t="shared" si="6"/>
        <v/>
      </c>
      <c r="X87" s="72"/>
      <c r="Y87" s="71">
        <v>105.0</v>
      </c>
      <c r="Z87" s="60">
        <v>0.0026041666666666665</v>
      </c>
      <c r="AA87" s="85" t="s">
        <v>560</v>
      </c>
      <c r="AB87" s="74" t="s">
        <v>561</v>
      </c>
      <c r="AC87" s="75" t="s">
        <v>362</v>
      </c>
      <c r="AD87" s="70"/>
      <c r="AE87" s="76"/>
      <c r="AF87" s="61" t="s">
        <v>407</v>
      </c>
      <c r="AG87" s="61" t="s">
        <v>562</v>
      </c>
      <c r="AH87" s="86">
        <v>31.0</v>
      </c>
      <c r="AI87" s="60"/>
    </row>
    <row r="88" hidden="1" outlineLevel="1">
      <c r="A88" s="78" t="s">
        <v>563</v>
      </c>
      <c r="B88" s="38">
        <v>4370.0</v>
      </c>
      <c r="C88" s="39">
        <v>0.15636574074074075</v>
      </c>
      <c r="D88" s="40">
        <f t="array" ref="D88">IFERROR(INDIRECT("'renta'!G$"&amp;MATCH(T88,renta!$A:$A,0))*0.975-(G88*INDIRECT("'renta'!G$"&amp;MATCH(F88,renta!$A:$A,0)))/B88-IFERROR((J88*INDIRECT("'renta'!G$"&amp;MATCH(I88,renta!$A:$A,0)))/B88,0),)</f>
        <v>0.007318843165</v>
      </c>
      <c r="E88" s="41">
        <f t="shared" si="1"/>
        <v>17.04515776</v>
      </c>
      <c r="F88" s="40" t="s">
        <v>18</v>
      </c>
      <c r="G88" s="43">
        <f t="shared" si="2"/>
        <v>41515</v>
      </c>
      <c r="H88" s="44" t="s">
        <v>564</v>
      </c>
      <c r="I88" s="79"/>
      <c r="J88" s="79"/>
      <c r="K88" s="79"/>
      <c r="L88" s="38" t="s">
        <v>137</v>
      </c>
      <c r="M88" s="46">
        <v>3.496</v>
      </c>
      <c r="N88" s="46">
        <v>25.0</v>
      </c>
      <c r="O88" s="42" t="s">
        <v>34</v>
      </c>
      <c r="P88" s="46">
        <v>60.0</v>
      </c>
      <c r="Q88" s="46"/>
      <c r="R88" s="47">
        <f t="array" ref="R88">INDIRECT("'renta'!G$"&amp;MATCH(O88,renta!$A:$A,0))*P88</f>
        <v>7960.929181</v>
      </c>
      <c r="S88" s="48">
        <f t="shared" si="7"/>
        <v>48718.13625</v>
      </c>
      <c r="T88" s="49" t="str">
        <f t="shared" si="4"/>
        <v>CLAY</v>
      </c>
      <c r="U88" s="50">
        <f t="shared" si="5"/>
        <v>0.01557400444</v>
      </c>
      <c r="V88" s="80"/>
      <c r="W88" s="52" t="str">
        <f t="shared" si="6"/>
        <v/>
      </c>
      <c r="X88" s="52"/>
      <c r="Y88" s="80">
        <v>105.0</v>
      </c>
      <c r="Z88" s="39">
        <v>0.002638888888888889</v>
      </c>
      <c r="AA88" s="81" t="s">
        <v>565</v>
      </c>
      <c r="AB88" s="82" t="s">
        <v>566</v>
      </c>
      <c r="AC88" s="54" t="s">
        <v>367</v>
      </c>
      <c r="AD88" s="50"/>
      <c r="AE88" s="83"/>
      <c r="AF88" s="40" t="s">
        <v>407</v>
      </c>
      <c r="AG88" s="40" t="s">
        <v>567</v>
      </c>
      <c r="AH88" s="87">
        <v>31.0</v>
      </c>
      <c r="AI88" s="39"/>
    </row>
    <row r="89" hidden="1" outlineLevel="1">
      <c r="A89" s="58" t="s">
        <v>568</v>
      </c>
      <c r="B89" s="59">
        <v>4475.0</v>
      </c>
      <c r="C89" s="60">
        <v>0.15902777777777777</v>
      </c>
      <c r="D89" s="61">
        <f t="array" ref="D89">IFERROR(INDIRECT("'renta'!G$"&amp;MATCH(T89,renta!$A:$A,0))*0.975-(G89*INDIRECT("'renta'!G$"&amp;MATCH(F89,renta!$A:$A,0)))/B89-IFERROR((J89*INDIRECT("'renta'!G$"&amp;MATCH(I89,renta!$A:$A,0)))/B89,0),)</f>
        <v>0.007318843165</v>
      </c>
      <c r="E89" s="41">
        <f t="shared" si="1"/>
        <v>17.16252742</v>
      </c>
      <c r="F89" s="61" t="s">
        <v>18</v>
      </c>
      <c r="G89" s="62">
        <f t="shared" si="2"/>
        <v>42512.5</v>
      </c>
      <c r="H89" s="63" t="s">
        <v>569</v>
      </c>
      <c r="I89" s="64"/>
      <c r="J89" s="64"/>
      <c r="K89" s="64"/>
      <c r="L89" s="59" t="s">
        <v>137</v>
      </c>
      <c r="M89" s="65">
        <v>3.58</v>
      </c>
      <c r="N89" s="65">
        <v>25.0</v>
      </c>
      <c r="O89" s="66" t="s">
        <v>34</v>
      </c>
      <c r="P89" s="65">
        <v>70.0</v>
      </c>
      <c r="Q89" s="65"/>
      <c r="R89" s="67">
        <f t="array" ref="R89">INDIRECT("'renta'!G$"&amp;MATCH(O89,renta!$A:$A,0))*P89</f>
        <v>9287.750711</v>
      </c>
      <c r="S89" s="68">
        <f t="shared" si="7"/>
        <v>58005.88696</v>
      </c>
      <c r="T89" s="69" t="str">
        <f t="shared" si="4"/>
        <v>CLAY</v>
      </c>
      <c r="U89" s="70">
        <f t="shared" si="5"/>
        <v>0.0126370383</v>
      </c>
      <c r="V89" s="71"/>
      <c r="W89" s="72" t="str">
        <f t="shared" si="6"/>
        <v/>
      </c>
      <c r="X89" s="72"/>
      <c r="Y89" s="71">
        <v>105.0</v>
      </c>
      <c r="Z89" s="60">
        <v>0.002662037037037037</v>
      </c>
      <c r="AA89" s="85" t="s">
        <v>570</v>
      </c>
      <c r="AB89" s="74" t="s">
        <v>571</v>
      </c>
      <c r="AC89" s="75" t="s">
        <v>372</v>
      </c>
      <c r="AD89" s="70"/>
      <c r="AE89" s="76"/>
      <c r="AF89" s="61" t="s">
        <v>407</v>
      </c>
      <c r="AG89" s="61" t="s">
        <v>572</v>
      </c>
      <c r="AH89" s="86">
        <v>31.0</v>
      </c>
      <c r="AI89" s="60"/>
    </row>
    <row r="90" hidden="1" outlineLevel="1">
      <c r="A90" s="78" t="s">
        <v>573</v>
      </c>
      <c r="B90" s="38">
        <v>4575.0</v>
      </c>
      <c r="C90" s="39">
        <v>0.16155092592592593</v>
      </c>
      <c r="D90" s="40">
        <f t="array" ref="D90">IFERROR(INDIRECT("'renta'!G$"&amp;MATCH(T90,renta!$A:$A,0))*0.975-(G90*INDIRECT("'renta'!G$"&amp;MATCH(F90,renta!$A:$A,0)))/B90-IFERROR((J90*INDIRECT("'renta'!G$"&amp;MATCH(I90,renta!$A:$A,0)))/B90,0),)</f>
        <v>0.007318843165</v>
      </c>
      <c r="E90" s="41">
        <f t="shared" si="1"/>
        <v>17.27200844</v>
      </c>
      <c r="F90" s="40" t="s">
        <v>18</v>
      </c>
      <c r="G90" s="43">
        <f t="shared" si="2"/>
        <v>43462.5</v>
      </c>
      <c r="H90" s="44" t="s">
        <v>574</v>
      </c>
      <c r="I90" s="79"/>
      <c r="J90" s="79"/>
      <c r="K90" s="79"/>
      <c r="L90" s="38" t="s">
        <v>137</v>
      </c>
      <c r="M90" s="46">
        <v>3.66</v>
      </c>
      <c r="N90" s="46">
        <v>25.0</v>
      </c>
      <c r="O90" s="42" t="s">
        <v>34</v>
      </c>
      <c r="P90" s="46">
        <v>82.0</v>
      </c>
      <c r="Q90" s="46"/>
      <c r="R90" s="47">
        <f t="array" ref="R90">INDIRECT("'renta'!G$"&amp;MATCH(O90,renta!$A:$A,0))*P90</f>
        <v>10879.93655</v>
      </c>
      <c r="S90" s="48">
        <f t="shared" si="7"/>
        <v>68885.82351</v>
      </c>
      <c r="T90" s="49" t="str">
        <f t="shared" si="4"/>
        <v>CLAY</v>
      </c>
      <c r="U90" s="50">
        <f t="shared" si="5"/>
        <v>0.01006265259</v>
      </c>
      <c r="V90" s="80"/>
      <c r="W90" s="52" t="str">
        <f t="shared" si="6"/>
        <v/>
      </c>
      <c r="X90" s="52"/>
      <c r="Y90" s="80">
        <v>100.0</v>
      </c>
      <c r="Z90" s="39">
        <v>0.002523148148148148</v>
      </c>
      <c r="AA90" s="81" t="s">
        <v>575</v>
      </c>
      <c r="AB90" s="82" t="s">
        <v>576</v>
      </c>
      <c r="AC90" s="54" t="s">
        <v>377</v>
      </c>
      <c r="AD90" s="50"/>
      <c r="AE90" s="83"/>
      <c r="AF90" s="40" t="s">
        <v>407</v>
      </c>
      <c r="AG90" s="40" t="s">
        <v>577</v>
      </c>
      <c r="AH90" s="87">
        <v>31.0</v>
      </c>
      <c r="AI90" s="39"/>
    </row>
    <row r="91" hidden="1" outlineLevel="1">
      <c r="A91" s="58" t="s">
        <v>578</v>
      </c>
      <c r="B91" s="59">
        <v>4675.0</v>
      </c>
      <c r="C91" s="60">
        <v>0.1641087962962963</v>
      </c>
      <c r="D91" s="61">
        <f t="array" ref="D91">IFERROR(INDIRECT("'renta'!G$"&amp;MATCH(T91,renta!$A:$A,0))*0.975-(G91*INDIRECT("'renta'!G$"&amp;MATCH(F91,renta!$A:$A,0)))/B91-IFERROR((J91*INDIRECT("'renta'!G$"&amp;MATCH(I91,renta!$A:$A,0)))/B91,0),)</f>
        <v>0.007318843165</v>
      </c>
      <c r="E91" s="41">
        <f t="shared" si="1"/>
        <v>17.37444537</v>
      </c>
      <c r="F91" s="61" t="s">
        <v>18</v>
      </c>
      <c r="G91" s="62">
        <f t="shared" si="2"/>
        <v>44412.5</v>
      </c>
      <c r="H91" s="63" t="s">
        <v>579</v>
      </c>
      <c r="I91" s="64"/>
      <c r="J91" s="64"/>
      <c r="K91" s="64"/>
      <c r="L91" s="59" t="s">
        <v>137</v>
      </c>
      <c r="M91" s="65">
        <v>3.74</v>
      </c>
      <c r="N91" s="65">
        <v>25.0</v>
      </c>
      <c r="O91" s="66" t="s">
        <v>34</v>
      </c>
      <c r="P91" s="65">
        <v>100.0</v>
      </c>
      <c r="Q91" s="65"/>
      <c r="R91" s="67">
        <f t="array" ref="R91">INDIRECT("'renta'!G$"&amp;MATCH(O91,renta!$A:$A,0))*P91</f>
        <v>13268.2153</v>
      </c>
      <c r="S91" s="68">
        <f t="shared" si="7"/>
        <v>82154.03881</v>
      </c>
      <c r="T91" s="69" t="str">
        <f t="shared" si="4"/>
        <v>CLAY</v>
      </c>
      <c r="U91" s="70">
        <f t="shared" si="5"/>
        <v>0.007720475318</v>
      </c>
      <c r="V91" s="71"/>
      <c r="W91" s="72" t="str">
        <f t="shared" si="6"/>
        <v/>
      </c>
      <c r="X91" s="72"/>
      <c r="Y91" s="71">
        <v>100.0</v>
      </c>
      <c r="Z91" s="60">
        <v>0.0025578703703703705</v>
      </c>
      <c r="AA91" s="85" t="s">
        <v>580</v>
      </c>
      <c r="AB91" s="74" t="s">
        <v>581</v>
      </c>
      <c r="AC91" s="75" t="s">
        <v>387</v>
      </c>
      <c r="AD91" s="70"/>
      <c r="AE91" s="76"/>
      <c r="AF91" s="61" t="s">
        <v>407</v>
      </c>
      <c r="AG91" s="61" t="s">
        <v>582</v>
      </c>
      <c r="AH91" s="86">
        <v>31.0</v>
      </c>
      <c r="AI91" s="60"/>
    </row>
    <row r="92" hidden="1" outlineLevel="1">
      <c r="A92" s="78" t="s">
        <v>583</v>
      </c>
      <c r="B92" s="38">
        <v>4775.0</v>
      </c>
      <c r="C92" s="39">
        <v>0.16666666666666666</v>
      </c>
      <c r="D92" s="40">
        <f t="array" ref="D92">IFERROR(INDIRECT("'renta'!G$"&amp;MATCH(T92,renta!$A:$A,0))*0.975-(G92*INDIRECT("'renta'!G$"&amp;MATCH(F92,renta!$A:$A,0)))/B92-IFERROR((J92*INDIRECT("'renta'!G$"&amp;MATCH(I92,renta!$A:$A,0)))/B92,0),)</f>
        <v>0.007318843165</v>
      </c>
      <c r="E92" s="41">
        <f t="shared" si="1"/>
        <v>17.47373806</v>
      </c>
      <c r="F92" s="40" t="s">
        <v>18</v>
      </c>
      <c r="G92" s="43">
        <f t="shared" si="2"/>
        <v>45362.5</v>
      </c>
      <c r="H92" s="44" t="s">
        <v>584</v>
      </c>
      <c r="I92" s="79"/>
      <c r="J92" s="79"/>
      <c r="K92" s="79"/>
      <c r="L92" s="38" t="s">
        <v>137</v>
      </c>
      <c r="M92" s="46">
        <v>3.82</v>
      </c>
      <c r="N92" s="46">
        <v>25.0</v>
      </c>
      <c r="O92" s="42" t="s">
        <v>34</v>
      </c>
      <c r="P92" s="46">
        <v>150.0</v>
      </c>
      <c r="Q92" s="46"/>
      <c r="R92" s="47">
        <f t="array" ref="R92">INDIRECT("'renta'!G$"&amp;MATCH(O92,renta!$A:$A,0))*P92</f>
        <v>19902.32295</v>
      </c>
      <c r="S92" s="48">
        <f t="shared" si="7"/>
        <v>102056.3618</v>
      </c>
      <c r="T92" s="49" t="str">
        <f t="shared" si="4"/>
        <v>CLAY</v>
      </c>
      <c r="U92" s="50">
        <f t="shared" si="5"/>
        <v>0.004988999745</v>
      </c>
      <c r="V92" s="80"/>
      <c r="W92" s="52" t="str">
        <f t="shared" si="6"/>
        <v/>
      </c>
      <c r="X92" s="52"/>
      <c r="Y92" s="80">
        <v>100.0</v>
      </c>
      <c r="Z92" s="39">
        <v>0.0025578703703703705</v>
      </c>
      <c r="AA92" s="81" t="s">
        <v>585</v>
      </c>
      <c r="AB92" s="82" t="s">
        <v>586</v>
      </c>
      <c r="AC92" s="54" t="s">
        <v>396</v>
      </c>
      <c r="AD92" s="50"/>
      <c r="AE92" s="83"/>
      <c r="AF92" s="40" t="s">
        <v>407</v>
      </c>
      <c r="AG92" s="40" t="s">
        <v>587</v>
      </c>
      <c r="AH92" s="87">
        <v>31.0</v>
      </c>
      <c r="AI92" s="39"/>
    </row>
    <row r="93" hidden="1" outlineLevel="1">
      <c r="A93" s="96"/>
      <c r="B93" s="97"/>
      <c r="C93" s="98"/>
      <c r="D93" s="61" t="str">
        <f t="array" ref="D93">IFERROR(INDIRECT("'renta'!G$"&amp;MATCH(T93,renta!$A:$A,0))*0.975-(G93*INDIRECT("'renta'!G$"&amp;MATCH(F93,renta!$A:$A,0)))/B93-IFERROR((J93*INDIRECT("'renta'!G$"&amp;MATCH(I93,renta!$A:$A,0)))/B93,0),)</f>
        <v/>
      </c>
      <c r="E93" s="41">
        <f t="shared" si="1"/>
        <v>0</v>
      </c>
      <c r="F93" s="64"/>
      <c r="G93" s="62">
        <f t="shared" si="2"/>
        <v>0</v>
      </c>
      <c r="H93" s="99"/>
      <c r="I93" s="64"/>
      <c r="J93" s="64"/>
      <c r="K93" s="64"/>
      <c r="L93" s="100"/>
      <c r="M93" s="101"/>
      <c r="N93" s="101"/>
      <c r="O93" s="102"/>
      <c r="P93" s="101"/>
      <c r="Q93" s="101"/>
      <c r="R93" s="67"/>
      <c r="S93" s="68"/>
      <c r="T93" s="69" t="str">
        <f t="shared" si="4"/>
        <v/>
      </c>
      <c r="U93" s="70" t="str">
        <f t="shared" si="5"/>
        <v>#DIV/0!</v>
      </c>
      <c r="V93" s="103"/>
      <c r="W93" s="72" t="str">
        <f t="shared" si="6"/>
        <v/>
      </c>
      <c r="X93" s="72"/>
      <c r="Y93" s="103"/>
      <c r="Z93" s="98"/>
      <c r="AA93" s="104"/>
      <c r="AB93" s="70"/>
      <c r="AC93" s="76"/>
      <c r="AD93" s="70"/>
      <c r="AE93" s="76"/>
      <c r="AF93" s="64"/>
      <c r="AG93" s="64"/>
      <c r="AH93" s="77"/>
      <c r="AI93" s="98"/>
    </row>
    <row r="94" hidden="1" outlineLevel="1">
      <c r="A94" s="78" t="s">
        <v>588</v>
      </c>
      <c r="B94" s="38">
        <v>1.0</v>
      </c>
      <c r="C94" s="39">
        <v>0.001388888888888889</v>
      </c>
      <c r="D94" s="40">
        <f t="array" ref="D94">IFERROR(INDIRECT("'renta'!G$"&amp;MATCH(T94,renta!$A:$A,0))*0.975-(G94*INDIRECT("'renta'!G$"&amp;MATCH(F94,renta!$A:$A,0)))/B94-IFERROR((J94*INDIRECT("'renta'!G$"&amp;MATCH(I94,renta!$A:$A,0)))/B94,0),)</f>
        <v>-0.03802493767</v>
      </c>
      <c r="E94" s="41">
        <f t="shared" si="1"/>
        <v>-2.28149626</v>
      </c>
      <c r="F94" s="40" t="s">
        <v>21</v>
      </c>
      <c r="G94" s="43">
        <f t="shared" si="2"/>
        <v>2.85</v>
      </c>
      <c r="H94" s="44" t="s">
        <v>136</v>
      </c>
      <c r="I94" s="79"/>
      <c r="J94" s="79"/>
      <c r="K94" s="79"/>
      <c r="L94" s="38" t="s">
        <v>137</v>
      </c>
      <c r="M94" s="46">
        <v>0.0</v>
      </c>
      <c r="N94" s="46">
        <v>75.0</v>
      </c>
      <c r="O94" s="42" t="s">
        <v>12</v>
      </c>
      <c r="P94" s="46">
        <v>1.0</v>
      </c>
      <c r="Q94" s="46"/>
      <c r="R94" s="47">
        <f t="array" ref="R94">INDIRECT("'renta'!G$"&amp;MATCH(O94,renta!$A:$A,0))*P94</f>
        <v>0.0041</v>
      </c>
      <c r="S94" s="48">
        <f t="shared" ref="S94:S128" si="8">SUM(R$94:R94)</f>
        <v>0.0041</v>
      </c>
      <c r="T94" s="49" t="str">
        <f t="shared" si="4"/>
        <v>SAND</v>
      </c>
      <c r="U94" s="50">
        <f t="shared" si="5"/>
        <v>-556462.5025</v>
      </c>
      <c r="V94" s="80"/>
      <c r="W94" s="52" t="str">
        <f t="shared" si="6"/>
        <v/>
      </c>
      <c r="X94" s="52"/>
      <c r="Y94" s="80">
        <v>0.0</v>
      </c>
      <c r="Z94" s="39">
        <v>0.0</v>
      </c>
      <c r="AA94" s="53">
        <v>0.0</v>
      </c>
      <c r="AB94" s="82" t="s">
        <v>589</v>
      </c>
      <c r="AC94" s="54" t="s">
        <v>590</v>
      </c>
      <c r="AD94" s="50"/>
      <c r="AE94" s="83"/>
      <c r="AF94" s="40" t="s">
        <v>141</v>
      </c>
      <c r="AG94" s="40" t="s">
        <v>591</v>
      </c>
      <c r="AH94" s="84"/>
      <c r="AI94" s="39"/>
    </row>
    <row r="95" hidden="1" outlineLevel="1">
      <c r="A95" s="58" t="s">
        <v>592</v>
      </c>
      <c r="B95" s="59">
        <v>2.0</v>
      </c>
      <c r="C95" s="60">
        <v>0.001388888888888889</v>
      </c>
      <c r="D95" s="61">
        <f t="array" ref="D95">IFERROR(INDIRECT("'renta'!G$"&amp;MATCH(T95,renta!$A:$A,0))*0.975-(G95*INDIRECT("'renta'!G$"&amp;MATCH(F95,renta!$A:$A,0)))/B95-IFERROR((J95*INDIRECT("'renta'!G$"&amp;MATCH(I95,renta!$A:$A,0)))/B95,0),)</f>
        <v>-0.03802493767</v>
      </c>
      <c r="E95" s="41">
        <f t="shared" si="1"/>
        <v>-4.56299252</v>
      </c>
      <c r="F95" s="61" t="s">
        <v>21</v>
      </c>
      <c r="G95" s="62">
        <f t="shared" si="2"/>
        <v>5.7</v>
      </c>
      <c r="H95" s="63" t="s">
        <v>144</v>
      </c>
      <c r="I95" s="64"/>
      <c r="J95" s="64"/>
      <c r="K95" s="64"/>
      <c r="L95" s="59" t="s">
        <v>137</v>
      </c>
      <c r="M95" s="65">
        <v>8.0</v>
      </c>
      <c r="N95" s="65">
        <v>75.0</v>
      </c>
      <c r="O95" s="66" t="s">
        <v>24</v>
      </c>
      <c r="P95" s="65">
        <v>1.0</v>
      </c>
      <c r="Q95" s="65"/>
      <c r="R95" s="67">
        <f t="array" ref="R95">INDIRECT("'renta'!G$"&amp;MATCH(O95,renta!$A:$A,0))*P95</f>
        <v>0.3117692947</v>
      </c>
      <c r="S95" s="68">
        <f t="shared" si="8"/>
        <v>0.3158692947</v>
      </c>
      <c r="T95" s="69" t="str">
        <f t="shared" si="4"/>
        <v>SAND</v>
      </c>
      <c r="U95" s="70">
        <f t="shared" si="5"/>
        <v>-7317.899161</v>
      </c>
      <c r="V95" s="71"/>
      <c r="W95" s="72" t="str">
        <f t="shared" si="6"/>
        <v/>
      </c>
      <c r="X95" s="72"/>
      <c r="Y95" s="71">
        <v>1.0</v>
      </c>
      <c r="Z95" s="60">
        <v>0.0</v>
      </c>
      <c r="AA95" s="73">
        <v>1.0</v>
      </c>
      <c r="AB95" s="74" t="s">
        <v>593</v>
      </c>
      <c r="AC95" s="75" t="s">
        <v>594</v>
      </c>
      <c r="AD95" s="70"/>
      <c r="AE95" s="76"/>
      <c r="AF95" s="61" t="s">
        <v>595</v>
      </c>
      <c r="AG95" s="61" t="s">
        <v>596</v>
      </c>
      <c r="AH95" s="86">
        <v>19.0</v>
      </c>
      <c r="AI95" s="60"/>
    </row>
    <row r="96" hidden="1" outlineLevel="1">
      <c r="A96" s="78" t="s">
        <v>597</v>
      </c>
      <c r="B96" s="38">
        <v>5.0</v>
      </c>
      <c r="C96" s="39">
        <v>0.0024537037037037036</v>
      </c>
      <c r="D96" s="40">
        <f t="array" ref="D96">IFERROR(INDIRECT("'renta'!G$"&amp;MATCH(T96,renta!$A:$A,0))*0.975-(G96*INDIRECT("'renta'!G$"&amp;MATCH(F96,renta!$A:$A,0)))/B96-IFERROR((J96*INDIRECT("'renta'!G$"&amp;MATCH(I96,renta!$A:$A,0)))/B96,0),)</f>
        <v>-0.03802493767</v>
      </c>
      <c r="E96" s="41">
        <f t="shared" si="1"/>
        <v>-6.457064887</v>
      </c>
      <c r="F96" s="40" t="s">
        <v>21</v>
      </c>
      <c r="G96" s="43">
        <f t="shared" si="2"/>
        <v>14.25</v>
      </c>
      <c r="H96" s="44" t="s">
        <v>598</v>
      </c>
      <c r="I96" s="79"/>
      <c r="J96" s="79"/>
      <c r="K96" s="79"/>
      <c r="L96" s="38" t="s">
        <v>137</v>
      </c>
      <c r="M96" s="46">
        <v>20.0</v>
      </c>
      <c r="N96" s="46">
        <v>75.0</v>
      </c>
      <c r="O96" s="42" t="s">
        <v>24</v>
      </c>
      <c r="P96" s="46">
        <v>5.0</v>
      </c>
      <c r="Q96" s="46"/>
      <c r="R96" s="47">
        <f t="array" ref="R96">INDIRECT("'renta'!G$"&amp;MATCH(O96,renta!$A:$A,0))*P96</f>
        <v>1.558846474</v>
      </c>
      <c r="S96" s="48">
        <f t="shared" si="8"/>
        <v>1.874715768</v>
      </c>
      <c r="T96" s="49" t="str">
        <f t="shared" si="4"/>
        <v>SAND</v>
      </c>
      <c r="U96" s="50">
        <f t="shared" si="5"/>
        <v>-1215.047408</v>
      </c>
      <c r="V96" s="80"/>
      <c r="W96" s="52" t="str">
        <f t="shared" si="6"/>
        <v/>
      </c>
      <c r="X96" s="52"/>
      <c r="Y96" s="80">
        <v>3.0</v>
      </c>
      <c r="Z96" s="39">
        <v>0.0010648148148148149</v>
      </c>
      <c r="AA96" s="81" t="s">
        <v>405</v>
      </c>
      <c r="AB96" s="82" t="s">
        <v>599</v>
      </c>
      <c r="AC96" s="54" t="s">
        <v>600</v>
      </c>
      <c r="AD96" s="50"/>
      <c r="AE96" s="83"/>
      <c r="AF96" s="40" t="s">
        <v>595</v>
      </c>
      <c r="AG96" s="40" t="s">
        <v>601</v>
      </c>
      <c r="AH96" s="87">
        <v>19.0</v>
      </c>
      <c r="AI96" s="39"/>
    </row>
    <row r="97" hidden="1" outlineLevel="1">
      <c r="A97" s="58" t="s">
        <v>602</v>
      </c>
      <c r="B97" s="59">
        <v>10.0</v>
      </c>
      <c r="C97" s="60">
        <v>0.0038541666666666668</v>
      </c>
      <c r="D97" s="61">
        <f t="array" ref="D97">IFERROR(INDIRECT("'renta'!G$"&amp;MATCH(T97,renta!$A:$A,0))*0.975-(G97*INDIRECT("'renta'!G$"&amp;MATCH(F97,renta!$A:$A,0)))/B97-IFERROR((J97*INDIRECT("'renta'!G$"&amp;MATCH(I97,renta!$A:$A,0)))/B97,0),)</f>
        <v>-0.03802493767</v>
      </c>
      <c r="E97" s="41">
        <f t="shared" si="1"/>
        <v>-8.221608144</v>
      </c>
      <c r="F97" s="61" t="s">
        <v>21</v>
      </c>
      <c r="G97" s="62">
        <f t="shared" si="2"/>
        <v>28.5</v>
      </c>
      <c r="H97" s="63" t="s">
        <v>603</v>
      </c>
      <c r="I97" s="64"/>
      <c r="J97" s="64"/>
      <c r="K97" s="64"/>
      <c r="L97" s="59" t="s">
        <v>137</v>
      </c>
      <c r="M97" s="65">
        <v>40.0</v>
      </c>
      <c r="N97" s="65">
        <v>75.0</v>
      </c>
      <c r="O97" s="66" t="s">
        <v>24</v>
      </c>
      <c r="P97" s="65">
        <v>10.0</v>
      </c>
      <c r="Q97" s="65"/>
      <c r="R97" s="67">
        <f t="array" ref="R97">INDIRECT("'renta'!G$"&amp;MATCH(O97,renta!$A:$A,0))*P97</f>
        <v>3.117692947</v>
      </c>
      <c r="S97" s="68">
        <f t="shared" si="8"/>
        <v>4.992408715</v>
      </c>
      <c r="T97" s="69" t="str">
        <f t="shared" si="4"/>
        <v>SAND</v>
      </c>
      <c r="U97" s="70">
        <f t="shared" si="5"/>
        <v>-565.9772426</v>
      </c>
      <c r="V97" s="71"/>
      <c r="W97" s="72" t="str">
        <f t="shared" si="6"/>
        <v/>
      </c>
      <c r="X97" s="72"/>
      <c r="Y97" s="71">
        <v>5.0</v>
      </c>
      <c r="Z97" s="60">
        <v>0.001412037037037037</v>
      </c>
      <c r="AA97" s="85" t="s">
        <v>604</v>
      </c>
      <c r="AB97" s="74" t="s">
        <v>605</v>
      </c>
      <c r="AC97" s="75" t="s">
        <v>606</v>
      </c>
      <c r="AD97" s="70"/>
      <c r="AE97" s="76"/>
      <c r="AF97" s="61" t="s">
        <v>595</v>
      </c>
      <c r="AG97" s="61" t="s">
        <v>456</v>
      </c>
      <c r="AH97" s="86">
        <v>19.0</v>
      </c>
      <c r="AI97" s="60"/>
    </row>
    <row r="98" hidden="1" outlineLevel="1">
      <c r="A98" s="78" t="s">
        <v>607</v>
      </c>
      <c r="B98" s="38">
        <v>20.0</v>
      </c>
      <c r="C98" s="39">
        <v>0.006412037037037037</v>
      </c>
      <c r="D98" s="40">
        <f t="array" ref="D98">IFERROR(INDIRECT("'renta'!G$"&amp;MATCH(T98,renta!$A:$A,0))*0.975-(G98*INDIRECT("'renta'!G$"&amp;MATCH(F98,renta!$A:$A,0)))/B98-IFERROR((J98*INDIRECT("'renta'!G$"&amp;MATCH(I98,renta!$A:$A,0)))/B98,0),)</f>
        <v>-0.03802493767</v>
      </c>
      <c r="E98" s="41">
        <f t="shared" si="1"/>
        <v>-9.883738311</v>
      </c>
      <c r="F98" s="40" t="s">
        <v>21</v>
      </c>
      <c r="G98" s="43">
        <f t="shared" si="2"/>
        <v>57</v>
      </c>
      <c r="H98" s="44" t="s">
        <v>608</v>
      </c>
      <c r="I98" s="79"/>
      <c r="J98" s="79"/>
      <c r="K98" s="79"/>
      <c r="L98" s="38" t="s">
        <v>137</v>
      </c>
      <c r="M98" s="46">
        <v>80.0</v>
      </c>
      <c r="N98" s="46">
        <v>75.0</v>
      </c>
      <c r="O98" s="42" t="s">
        <v>24</v>
      </c>
      <c r="P98" s="46">
        <v>17.0</v>
      </c>
      <c r="Q98" s="46"/>
      <c r="R98" s="47">
        <f t="array" ref="R98">INDIRECT("'renta'!G$"&amp;MATCH(O98,renta!$A:$A,0))*P98</f>
        <v>5.30007801</v>
      </c>
      <c r="S98" s="48">
        <f t="shared" si="8"/>
        <v>10.29248673</v>
      </c>
      <c r="T98" s="49" t="str">
        <f t="shared" si="4"/>
        <v>SAND</v>
      </c>
      <c r="U98" s="50">
        <f t="shared" si="5"/>
        <v>-313.6048494</v>
      </c>
      <c r="V98" s="80"/>
      <c r="W98" s="52" t="str">
        <f t="shared" si="6"/>
        <v/>
      </c>
      <c r="X98" s="52"/>
      <c r="Y98" s="80">
        <v>10.0</v>
      </c>
      <c r="Z98" s="39">
        <v>0.0025578703703703705</v>
      </c>
      <c r="AA98" s="81" t="s">
        <v>609</v>
      </c>
      <c r="AB98" s="82" t="s">
        <v>610</v>
      </c>
      <c r="AC98" s="54" t="s">
        <v>611</v>
      </c>
      <c r="AD98" s="50"/>
      <c r="AE98" s="83"/>
      <c r="AF98" s="40" t="s">
        <v>595</v>
      </c>
      <c r="AG98" s="40" t="s">
        <v>612</v>
      </c>
      <c r="AH98" s="87">
        <v>19.0</v>
      </c>
      <c r="AI98" s="39"/>
    </row>
    <row r="99" hidden="1" outlineLevel="1">
      <c r="A99" s="58" t="s">
        <v>613</v>
      </c>
      <c r="B99" s="59">
        <v>40.0</v>
      </c>
      <c r="C99" s="60">
        <v>0.011041666666666667</v>
      </c>
      <c r="D99" s="61">
        <f t="array" ref="D99">IFERROR(INDIRECT("'renta'!G$"&amp;MATCH(T99,renta!$A:$A,0))*0.975-(G99*INDIRECT("'renta'!G$"&amp;MATCH(F99,renta!$A:$A,0)))/B99-IFERROR((J99*INDIRECT("'renta'!G$"&amp;MATCH(I99,renta!$A:$A,0)))/B99,0),)</f>
        <v>-0.03802493767</v>
      </c>
      <c r="E99" s="41">
        <f t="shared" si="1"/>
        <v>-11.47922647</v>
      </c>
      <c r="F99" s="61" t="s">
        <v>21</v>
      </c>
      <c r="G99" s="62">
        <f t="shared" si="2"/>
        <v>114</v>
      </c>
      <c r="H99" s="63" t="s">
        <v>614</v>
      </c>
      <c r="I99" s="64"/>
      <c r="J99" s="64"/>
      <c r="K99" s="64"/>
      <c r="L99" s="59" t="s">
        <v>137</v>
      </c>
      <c r="M99" s="65">
        <v>160.0</v>
      </c>
      <c r="N99" s="65">
        <v>75.0</v>
      </c>
      <c r="O99" s="66" t="s">
        <v>24</v>
      </c>
      <c r="P99" s="65">
        <v>27.0</v>
      </c>
      <c r="Q99" s="65"/>
      <c r="R99" s="67">
        <f t="array" ref="R99">INDIRECT("'renta'!G$"&amp;MATCH(O99,renta!$A:$A,0))*P99</f>
        <v>8.417770957</v>
      </c>
      <c r="S99" s="68">
        <f t="shared" si="8"/>
        <v>18.71025768</v>
      </c>
      <c r="T99" s="69" t="str">
        <f t="shared" si="4"/>
        <v>SAND</v>
      </c>
      <c r="U99" s="70">
        <f t="shared" si="5"/>
        <v>-189.5380812</v>
      </c>
      <c r="V99" s="71"/>
      <c r="W99" s="72" t="str">
        <f t="shared" si="6"/>
        <v/>
      </c>
      <c r="X99" s="72"/>
      <c r="Y99" s="71">
        <v>20.0</v>
      </c>
      <c r="Z99" s="60">
        <v>0.004629629629629629</v>
      </c>
      <c r="AA99" s="85" t="s">
        <v>615</v>
      </c>
      <c r="AB99" s="74" t="s">
        <v>616</v>
      </c>
      <c r="AC99" s="75" t="s">
        <v>617</v>
      </c>
      <c r="AD99" s="70"/>
      <c r="AE99" s="76"/>
      <c r="AF99" s="61" t="s">
        <v>595</v>
      </c>
      <c r="AG99" s="61" t="s">
        <v>618</v>
      </c>
      <c r="AH99" s="86">
        <v>19.0</v>
      </c>
      <c r="AI99" s="60"/>
    </row>
    <row r="100" hidden="1" outlineLevel="1">
      <c r="A100" s="78" t="s">
        <v>619</v>
      </c>
      <c r="B100" s="38">
        <v>70.0</v>
      </c>
      <c r="C100" s="39">
        <v>0.017060185185185185</v>
      </c>
      <c r="D100" s="40">
        <f t="array" ref="D100">IFERROR(INDIRECT("'renta'!G$"&amp;MATCH(T100,renta!$A:$A,0))*0.975-(G100*INDIRECT("'renta'!G$"&amp;MATCH(F100,renta!$A:$A,0)))/B100-IFERROR((J100*INDIRECT("'renta'!G$"&amp;MATCH(I100,renta!$A:$A,0)))/B100,0),)</f>
        <v>-0.03802493767</v>
      </c>
      <c r="E100" s="41">
        <f t="shared" si="1"/>
        <v>-13.00174259</v>
      </c>
      <c r="F100" s="40" t="s">
        <v>21</v>
      </c>
      <c r="G100" s="43">
        <f t="shared" si="2"/>
        <v>199.5</v>
      </c>
      <c r="H100" s="44" t="s">
        <v>620</v>
      </c>
      <c r="I100" s="79"/>
      <c r="J100" s="79"/>
      <c r="K100" s="79"/>
      <c r="L100" s="38" t="s">
        <v>137</v>
      </c>
      <c r="M100" s="46">
        <v>280.0</v>
      </c>
      <c r="N100" s="46">
        <v>75.0</v>
      </c>
      <c r="O100" s="42" t="s">
        <v>24</v>
      </c>
      <c r="P100" s="46">
        <v>40.0</v>
      </c>
      <c r="Q100" s="46"/>
      <c r="R100" s="47">
        <f t="array" ref="R100">INDIRECT("'renta'!G$"&amp;MATCH(O100,renta!$A:$A,0))*P100</f>
        <v>12.47077179</v>
      </c>
      <c r="S100" s="48">
        <f t="shared" si="8"/>
        <v>31.18102947</v>
      </c>
      <c r="T100" s="49" t="str">
        <f t="shared" si="4"/>
        <v>SAND</v>
      </c>
      <c r="U100" s="50">
        <f t="shared" si="5"/>
        <v>-122.0867605</v>
      </c>
      <c r="V100" s="80"/>
      <c r="W100" s="52" t="str">
        <f t="shared" si="6"/>
        <v/>
      </c>
      <c r="X100" s="52"/>
      <c r="Y100" s="80">
        <v>30.0</v>
      </c>
      <c r="Z100" s="39">
        <v>0.0060185185185185185</v>
      </c>
      <c r="AA100" s="81" t="s">
        <v>621</v>
      </c>
      <c r="AB100" s="82" t="s">
        <v>622</v>
      </c>
      <c r="AC100" s="54" t="s">
        <v>623</v>
      </c>
      <c r="AD100" s="50"/>
      <c r="AE100" s="83"/>
      <c r="AF100" s="40" t="s">
        <v>595</v>
      </c>
      <c r="AG100" s="40" t="s">
        <v>624</v>
      </c>
      <c r="AH100" s="87">
        <v>19.0</v>
      </c>
      <c r="AI100" s="39"/>
    </row>
    <row r="101" hidden="1" outlineLevel="1">
      <c r="A101" s="58" t="s">
        <v>625</v>
      </c>
      <c r="B101" s="59">
        <v>125.0</v>
      </c>
      <c r="C101" s="60">
        <v>0.027407407407407408</v>
      </c>
      <c r="D101" s="61">
        <f t="array" ref="D101">IFERROR(INDIRECT("'renta'!G$"&amp;MATCH(T101,renta!$A:$A,0))*0.975-(G101*INDIRECT("'renta'!G$"&amp;MATCH(F101,renta!$A:$A,0)))/B101-IFERROR((J101*INDIRECT("'renta'!G$"&amp;MATCH(I101,renta!$A:$A,0)))/B101,0),)</f>
        <v>-0.03802493767</v>
      </c>
      <c r="E101" s="41">
        <f t="shared" si="1"/>
        <v>-14.45204557</v>
      </c>
      <c r="F101" s="61" t="s">
        <v>21</v>
      </c>
      <c r="G101" s="62">
        <f t="shared" si="2"/>
        <v>356.25</v>
      </c>
      <c r="H101" s="63" t="s">
        <v>626</v>
      </c>
      <c r="I101" s="64"/>
      <c r="J101" s="64"/>
      <c r="K101" s="64"/>
      <c r="L101" s="59" t="s">
        <v>137</v>
      </c>
      <c r="M101" s="65">
        <v>500.0</v>
      </c>
      <c r="N101" s="65">
        <v>75.0</v>
      </c>
      <c r="O101" s="66" t="s">
        <v>24</v>
      </c>
      <c r="P101" s="65">
        <v>60.0</v>
      </c>
      <c r="Q101" s="65"/>
      <c r="R101" s="67">
        <f t="array" ref="R101">INDIRECT("'renta'!G$"&amp;MATCH(O101,renta!$A:$A,0))*P101</f>
        <v>18.70615768</v>
      </c>
      <c r="S101" s="68">
        <f t="shared" si="8"/>
        <v>49.88718715</v>
      </c>
      <c r="T101" s="69" t="str">
        <f t="shared" si="4"/>
        <v>SAND</v>
      </c>
      <c r="U101" s="70">
        <f t="shared" si="5"/>
        <v>-77.5307787</v>
      </c>
      <c r="V101" s="71"/>
      <c r="W101" s="72" t="str">
        <f t="shared" si="6"/>
        <v/>
      </c>
      <c r="X101" s="72"/>
      <c r="Y101" s="71">
        <v>55.0</v>
      </c>
      <c r="Z101" s="60">
        <v>0.010358796296296297</v>
      </c>
      <c r="AA101" s="85" t="s">
        <v>627</v>
      </c>
      <c r="AB101" s="74" t="s">
        <v>628</v>
      </c>
      <c r="AC101" s="75" t="s">
        <v>623</v>
      </c>
      <c r="AD101" s="70"/>
      <c r="AE101" s="76"/>
      <c r="AF101" s="61" t="s">
        <v>595</v>
      </c>
      <c r="AG101" s="61" t="s">
        <v>629</v>
      </c>
      <c r="AH101" s="86">
        <v>19.0</v>
      </c>
      <c r="AI101" s="60"/>
    </row>
    <row r="102" hidden="1" outlineLevel="1">
      <c r="A102" s="78" t="s">
        <v>630</v>
      </c>
      <c r="B102" s="38">
        <v>225.0</v>
      </c>
      <c r="C102" s="39">
        <v>0.04506944444444445</v>
      </c>
      <c r="D102" s="40">
        <f t="array" ref="D102">IFERROR(INDIRECT("'renta'!G$"&amp;MATCH(T102,renta!$A:$A,0))*0.975-(G102*INDIRECT("'renta'!G$"&amp;MATCH(F102,renta!$A:$A,0)))/B102-IFERROR((J102*INDIRECT("'renta'!G$"&amp;MATCH(I102,renta!$A:$A,0)))/B102,0),)</f>
        <v>-0.03802493767</v>
      </c>
      <c r="E102" s="41">
        <f t="shared" si="1"/>
        <v>-15.81931151</v>
      </c>
      <c r="F102" s="40" t="s">
        <v>21</v>
      </c>
      <c r="G102" s="43">
        <f t="shared" si="2"/>
        <v>641.25</v>
      </c>
      <c r="H102" s="44" t="s">
        <v>631</v>
      </c>
      <c r="I102" s="79"/>
      <c r="J102" s="79"/>
      <c r="K102" s="79"/>
      <c r="L102" s="38" t="s">
        <v>137</v>
      </c>
      <c r="M102" s="46">
        <v>900.0</v>
      </c>
      <c r="N102" s="46">
        <v>75.0</v>
      </c>
      <c r="O102" s="42" t="s">
        <v>27</v>
      </c>
      <c r="P102" s="46">
        <v>3.0</v>
      </c>
      <c r="Q102" s="46"/>
      <c r="R102" s="47">
        <f t="array" ref="R102">INDIRECT("'renta'!G$"&amp;MATCH(O102,renta!$A:$A,0))*P102</f>
        <v>24.99</v>
      </c>
      <c r="S102" s="48">
        <f t="shared" si="8"/>
        <v>74.87718715</v>
      </c>
      <c r="T102" s="49" t="str">
        <f t="shared" si="4"/>
        <v>SAND</v>
      </c>
      <c r="U102" s="50">
        <f t="shared" si="5"/>
        <v>-54.71252278</v>
      </c>
      <c r="V102" s="80"/>
      <c r="W102" s="52" t="str">
        <f t="shared" si="6"/>
        <v/>
      </c>
      <c r="X102" s="52"/>
      <c r="Y102" s="80">
        <v>100.0</v>
      </c>
      <c r="Z102" s="39">
        <v>0.01766203703703704</v>
      </c>
      <c r="AA102" s="81" t="s">
        <v>632</v>
      </c>
      <c r="AB102" s="82" t="s">
        <v>633</v>
      </c>
      <c r="AC102" s="54" t="s">
        <v>634</v>
      </c>
      <c r="AD102" s="50"/>
      <c r="AE102" s="83"/>
      <c r="AF102" s="40" t="s">
        <v>595</v>
      </c>
      <c r="AG102" s="40" t="s">
        <v>635</v>
      </c>
      <c r="AH102" s="87">
        <v>19.0</v>
      </c>
      <c r="AI102" s="39"/>
    </row>
    <row r="103" hidden="1" outlineLevel="1">
      <c r="A103" s="58" t="s">
        <v>636</v>
      </c>
      <c r="B103" s="59">
        <v>335.0</v>
      </c>
      <c r="C103" s="60">
        <v>0.062037037037037036</v>
      </c>
      <c r="D103" s="61">
        <f t="array" ref="D103">IFERROR(INDIRECT("'renta'!G$"&amp;MATCH(T103,renta!$A:$A,0))*0.975-(G103*INDIRECT("'renta'!G$"&amp;MATCH(F103,renta!$A:$A,0)))/B103-IFERROR((J103*INDIRECT("'renta'!G$"&amp;MATCH(I103,renta!$A:$A,0)))/B103,0),)</f>
        <v>-0.03802493767</v>
      </c>
      <c r="E103" s="41">
        <f t="shared" si="1"/>
        <v>-17.11122195</v>
      </c>
      <c r="F103" s="61" t="s">
        <v>21</v>
      </c>
      <c r="G103" s="62">
        <f t="shared" si="2"/>
        <v>954.75</v>
      </c>
      <c r="H103" s="63" t="s">
        <v>637</v>
      </c>
      <c r="I103" s="64"/>
      <c r="J103" s="64"/>
      <c r="K103" s="64"/>
      <c r="L103" s="59" t="s">
        <v>137</v>
      </c>
      <c r="M103" s="65">
        <v>1.291</v>
      </c>
      <c r="N103" s="65">
        <v>75.0</v>
      </c>
      <c r="O103" s="66" t="s">
        <v>27</v>
      </c>
      <c r="P103" s="65">
        <v>5.0</v>
      </c>
      <c r="Q103" s="65"/>
      <c r="R103" s="67">
        <f t="array" ref="R103">INDIRECT("'renta'!G$"&amp;MATCH(O103,renta!$A:$A,0))*P103</f>
        <v>41.65</v>
      </c>
      <c r="S103" s="68">
        <f t="shared" si="8"/>
        <v>116.5271872</v>
      </c>
      <c r="T103" s="69" t="str">
        <f t="shared" si="4"/>
        <v>SAND</v>
      </c>
      <c r="U103" s="70">
        <f t="shared" si="5"/>
        <v>-31.01825786</v>
      </c>
      <c r="V103" s="71"/>
      <c r="W103" s="72" t="str">
        <f t="shared" si="6"/>
        <v/>
      </c>
      <c r="X103" s="72"/>
      <c r="Y103" s="71">
        <v>110.0</v>
      </c>
      <c r="Z103" s="60">
        <v>0.016967592592592593</v>
      </c>
      <c r="AA103" s="85" t="s">
        <v>638</v>
      </c>
      <c r="AB103" s="74" t="s">
        <v>639</v>
      </c>
      <c r="AC103" s="75" t="s">
        <v>640</v>
      </c>
      <c r="AD103" s="70"/>
      <c r="AE103" s="76"/>
      <c r="AF103" s="61" t="s">
        <v>641</v>
      </c>
      <c r="AG103" s="61" t="s">
        <v>642</v>
      </c>
      <c r="AH103" s="86">
        <v>19.0</v>
      </c>
      <c r="AI103" s="60"/>
    </row>
    <row r="104" hidden="1" outlineLevel="1">
      <c r="A104" s="78" t="s">
        <v>25</v>
      </c>
      <c r="B104" s="38">
        <v>455.0</v>
      </c>
      <c r="C104" s="39">
        <v>0.07866898148148148</v>
      </c>
      <c r="D104" s="40">
        <f t="array" ref="D104">IFERROR(INDIRECT("'renta'!G$"&amp;MATCH(T104,renta!$A:$A,0))*0.975-(G104*INDIRECT("'renta'!G$"&amp;MATCH(F104,renta!$A:$A,0)))/B104-IFERROR((J104*INDIRECT("'renta'!G$"&amp;MATCH(I104,renta!$A:$A,0)))/B104,0),)</f>
        <v>-0.03802493767</v>
      </c>
      <c r="E104" s="41">
        <f t="shared" si="1"/>
        <v>-18.32715842</v>
      </c>
      <c r="F104" s="40" t="s">
        <v>21</v>
      </c>
      <c r="G104" s="43">
        <f t="shared" si="2"/>
        <v>1296.75</v>
      </c>
      <c r="H104" s="44" t="s">
        <v>643</v>
      </c>
      <c r="I104" s="79"/>
      <c r="J104" s="79"/>
      <c r="K104" s="79"/>
      <c r="L104" s="38" t="s">
        <v>137</v>
      </c>
      <c r="M104" s="46">
        <v>1.697</v>
      </c>
      <c r="N104" s="46">
        <v>75.0</v>
      </c>
      <c r="O104" s="42" t="s">
        <v>27</v>
      </c>
      <c r="P104" s="46">
        <v>10.0</v>
      </c>
      <c r="Q104" s="46"/>
      <c r="R104" s="47">
        <f t="array" ref="R104">INDIRECT("'renta'!G$"&amp;MATCH(O104,renta!$A:$A,0))*P104</f>
        <v>83.3</v>
      </c>
      <c r="S104" s="48">
        <f t="shared" si="8"/>
        <v>199.8271872</v>
      </c>
      <c r="T104" s="49" t="str">
        <f t="shared" si="4"/>
        <v>SAND</v>
      </c>
      <c r="U104" s="50">
        <f t="shared" si="5"/>
        <v>-14.5970765</v>
      </c>
      <c r="V104" s="80">
        <v>1.7</v>
      </c>
      <c r="W104" s="52">
        <f t="shared" si="6"/>
        <v>-10.17726273</v>
      </c>
      <c r="X104" s="52"/>
      <c r="Y104" s="80">
        <v>120.0</v>
      </c>
      <c r="Z104" s="39">
        <v>0.016631944444444446</v>
      </c>
      <c r="AA104" s="81" t="s">
        <v>644</v>
      </c>
      <c r="AB104" s="82" t="s">
        <v>645</v>
      </c>
      <c r="AC104" s="54" t="s">
        <v>646</v>
      </c>
      <c r="AD104" s="50"/>
      <c r="AE104" s="83"/>
      <c r="AF104" s="40" t="s">
        <v>647</v>
      </c>
      <c r="AG104" s="40" t="s">
        <v>648</v>
      </c>
      <c r="AH104" s="87">
        <v>20.0</v>
      </c>
      <c r="AI104" s="39"/>
    </row>
    <row r="105" hidden="1" outlineLevel="1">
      <c r="A105" s="58" t="s">
        <v>649</v>
      </c>
      <c r="B105" s="59">
        <v>575.0</v>
      </c>
      <c r="C105" s="60">
        <v>0.09358796296296296</v>
      </c>
      <c r="D105" s="61">
        <f t="array" ref="D105">IFERROR(INDIRECT("'renta'!G$"&amp;MATCH(T105,renta!$A:$A,0))*0.975-(G105*INDIRECT("'renta'!G$"&amp;MATCH(F105,renta!$A:$A,0)))/B105-IFERROR((J105*INDIRECT("'renta'!G$"&amp;MATCH(I105,renta!$A:$A,0)))/B105,0),)</f>
        <v>-0.03802493767</v>
      </c>
      <c r="E105" s="41">
        <f t="shared" si="1"/>
        <v>-19.4686176</v>
      </c>
      <c r="F105" s="61" t="s">
        <v>21</v>
      </c>
      <c r="G105" s="62">
        <f t="shared" si="2"/>
        <v>1638.75</v>
      </c>
      <c r="H105" s="63" t="s">
        <v>650</v>
      </c>
      <c r="I105" s="64"/>
      <c r="J105" s="64"/>
      <c r="K105" s="64"/>
      <c r="L105" s="59" t="s">
        <v>137</v>
      </c>
      <c r="M105" s="65">
        <v>2.081</v>
      </c>
      <c r="N105" s="65">
        <v>75.0</v>
      </c>
      <c r="O105" s="66" t="s">
        <v>27</v>
      </c>
      <c r="P105" s="65">
        <v>15.0</v>
      </c>
      <c r="Q105" s="65"/>
      <c r="R105" s="67">
        <f t="array" ref="R105">INDIRECT("'renta'!G$"&amp;MATCH(O105,renta!$A:$A,0))*P105</f>
        <v>124.95</v>
      </c>
      <c r="S105" s="68">
        <f t="shared" si="8"/>
        <v>324.7771872</v>
      </c>
      <c r="T105" s="69" t="str">
        <f t="shared" si="4"/>
        <v>SAND</v>
      </c>
      <c r="U105" s="70">
        <f t="shared" si="5"/>
        <v>-9.135327579</v>
      </c>
      <c r="V105" s="71"/>
      <c r="W105" s="72" t="str">
        <f t="shared" si="6"/>
        <v/>
      </c>
      <c r="X105" s="72"/>
      <c r="Y105" s="71">
        <v>120.0</v>
      </c>
      <c r="Z105" s="60">
        <v>0.014918981481481481</v>
      </c>
      <c r="AA105" s="85" t="s">
        <v>651</v>
      </c>
      <c r="AB105" s="74" t="s">
        <v>652</v>
      </c>
      <c r="AC105" s="75" t="s">
        <v>653</v>
      </c>
      <c r="AD105" s="70"/>
      <c r="AE105" s="76"/>
      <c r="AF105" s="61" t="s">
        <v>654</v>
      </c>
      <c r="AG105" s="61" t="s">
        <v>655</v>
      </c>
      <c r="AH105" s="86">
        <v>21.0</v>
      </c>
      <c r="AI105" s="60"/>
    </row>
    <row r="106" hidden="1" outlineLevel="1">
      <c r="A106" s="78" t="s">
        <v>656</v>
      </c>
      <c r="B106" s="38">
        <v>685.0</v>
      </c>
      <c r="C106" s="39">
        <v>0.10550925925925926</v>
      </c>
      <c r="D106" s="40">
        <f t="array" ref="D106">IFERROR(INDIRECT("'renta'!G$"&amp;MATCH(T106,renta!$A:$A,0))*0.975-(G106*INDIRECT("'renta'!G$"&amp;MATCH(F106,renta!$A:$A,0)))/B106-IFERROR((J106*INDIRECT("'renta'!G$"&amp;MATCH(I106,renta!$A:$A,0)))/B106,0),)</f>
        <v>-0.03802493767</v>
      </c>
      <c r="E106" s="41">
        <f t="shared" si="1"/>
        <v>-20.57250906</v>
      </c>
      <c r="F106" s="40" t="s">
        <v>21</v>
      </c>
      <c r="G106" s="43">
        <f t="shared" si="2"/>
        <v>1952.25</v>
      </c>
      <c r="H106" s="44" t="s">
        <v>657</v>
      </c>
      <c r="I106" s="79"/>
      <c r="J106" s="79"/>
      <c r="K106" s="79"/>
      <c r="L106" s="38" t="s">
        <v>137</v>
      </c>
      <c r="M106" s="46">
        <v>2.414</v>
      </c>
      <c r="N106" s="46">
        <v>75.0</v>
      </c>
      <c r="O106" s="42" t="s">
        <v>27</v>
      </c>
      <c r="P106" s="46">
        <v>21.0</v>
      </c>
      <c r="Q106" s="46"/>
      <c r="R106" s="47">
        <f t="array" ref="R106">INDIRECT("'renta'!G$"&amp;MATCH(O106,renta!$A:$A,0))*P106</f>
        <v>174.93</v>
      </c>
      <c r="S106" s="48">
        <f t="shared" si="8"/>
        <v>499.7071872</v>
      </c>
      <c r="T106" s="49" t="str">
        <f t="shared" si="4"/>
        <v>SAND</v>
      </c>
      <c r="U106" s="50">
        <f t="shared" si="5"/>
        <v>-6.31047536</v>
      </c>
      <c r="V106" s="80"/>
      <c r="W106" s="52" t="str">
        <f t="shared" si="6"/>
        <v/>
      </c>
      <c r="X106" s="52"/>
      <c r="Y106" s="80">
        <v>110.0</v>
      </c>
      <c r="Z106" s="39">
        <v>0.01193287037037037</v>
      </c>
      <c r="AA106" s="81" t="s">
        <v>658</v>
      </c>
      <c r="AB106" s="82" t="s">
        <v>659</v>
      </c>
      <c r="AC106" s="54" t="s">
        <v>660</v>
      </c>
      <c r="AD106" s="50"/>
      <c r="AE106" s="83"/>
      <c r="AF106" s="40" t="s">
        <v>654</v>
      </c>
      <c r="AG106" s="40" t="s">
        <v>661</v>
      </c>
      <c r="AH106" s="87">
        <v>21.0</v>
      </c>
      <c r="AI106" s="39"/>
    </row>
    <row r="107" hidden="1" outlineLevel="1">
      <c r="A107" s="58" t="s">
        <v>662</v>
      </c>
      <c r="B107" s="59">
        <v>800.0</v>
      </c>
      <c r="C107" s="60">
        <v>0.11716435185185185</v>
      </c>
      <c r="D107" s="61">
        <f t="array" ref="D107">IFERROR(INDIRECT("'renta'!G$"&amp;MATCH(T107,renta!$A:$A,0))*0.975-(G107*INDIRECT("'renta'!G$"&amp;MATCH(F107,renta!$A:$A,0)))/B107-IFERROR((J107*INDIRECT("'renta'!G$"&amp;MATCH(I107,renta!$A:$A,0)))/B107,0),)</f>
        <v>-0.03802493767</v>
      </c>
      <c r="E107" s="41">
        <f t="shared" si="1"/>
        <v>-21.63623836</v>
      </c>
      <c r="F107" s="61" t="s">
        <v>21</v>
      </c>
      <c r="G107" s="62">
        <f t="shared" si="2"/>
        <v>2280</v>
      </c>
      <c r="H107" s="63" t="s">
        <v>663</v>
      </c>
      <c r="I107" s="64"/>
      <c r="J107" s="64"/>
      <c r="K107" s="64"/>
      <c r="L107" s="59" t="s">
        <v>137</v>
      </c>
      <c r="M107" s="65">
        <v>2.749</v>
      </c>
      <c r="N107" s="65">
        <v>75.0</v>
      </c>
      <c r="O107" s="66" t="s">
        <v>27</v>
      </c>
      <c r="P107" s="65">
        <v>28.0</v>
      </c>
      <c r="Q107" s="65"/>
      <c r="R107" s="67">
        <f t="array" ref="R107">INDIRECT("'renta'!G$"&amp;MATCH(O107,renta!$A:$A,0))*P107</f>
        <v>233.24</v>
      </c>
      <c r="S107" s="68">
        <f t="shared" si="8"/>
        <v>732.9471872</v>
      </c>
      <c r="T107" s="69" t="str">
        <f t="shared" si="4"/>
        <v>SAND</v>
      </c>
      <c r="U107" s="70">
        <f t="shared" si="5"/>
        <v>-4.560664149</v>
      </c>
      <c r="V107" s="71"/>
      <c r="W107" s="72" t="str">
        <f t="shared" si="6"/>
        <v/>
      </c>
      <c r="X107" s="72"/>
      <c r="Y107" s="71">
        <v>115.0</v>
      </c>
      <c r="Z107" s="60">
        <v>0.011655092592592592</v>
      </c>
      <c r="AA107" s="85" t="s">
        <v>664</v>
      </c>
      <c r="AB107" s="74" t="s">
        <v>665</v>
      </c>
      <c r="AC107" s="75" t="s">
        <v>666</v>
      </c>
      <c r="AD107" s="70"/>
      <c r="AE107" s="76"/>
      <c r="AF107" s="61" t="s">
        <v>667</v>
      </c>
      <c r="AG107" s="61" t="s">
        <v>668</v>
      </c>
      <c r="AH107" s="86">
        <v>22.0</v>
      </c>
      <c r="AI107" s="60"/>
    </row>
    <row r="108" hidden="1" outlineLevel="1">
      <c r="A108" s="78" t="s">
        <v>669</v>
      </c>
      <c r="B108" s="38">
        <v>920.0</v>
      </c>
      <c r="C108" s="39">
        <v>0.12863425925925925</v>
      </c>
      <c r="D108" s="40">
        <f t="array" ref="D108">IFERROR(INDIRECT("'renta'!G$"&amp;MATCH(T108,renta!$A:$A,0))*0.975-(G108*INDIRECT("'renta'!G$"&amp;MATCH(F108,renta!$A:$A,0)))/B108-IFERROR((J108*INDIRECT("'renta'!G$"&amp;MATCH(I108,renta!$A:$A,0)))/B108,0),)</f>
        <v>-0.03802493767</v>
      </c>
      <c r="E108" s="41">
        <f t="shared" si="1"/>
        <v>-22.66305445</v>
      </c>
      <c r="F108" s="40" t="s">
        <v>21</v>
      </c>
      <c r="G108" s="43">
        <f t="shared" si="2"/>
        <v>2622</v>
      </c>
      <c r="H108" s="44" t="s">
        <v>670</v>
      </c>
      <c r="I108" s="79"/>
      <c r="J108" s="79"/>
      <c r="K108" s="79"/>
      <c r="L108" s="38" t="s">
        <v>137</v>
      </c>
      <c r="M108" s="46">
        <v>3.09</v>
      </c>
      <c r="N108" s="46">
        <v>75.0</v>
      </c>
      <c r="O108" s="42" t="s">
        <v>27</v>
      </c>
      <c r="P108" s="46">
        <v>36.0</v>
      </c>
      <c r="Q108" s="46"/>
      <c r="R108" s="47">
        <f t="array" ref="R108">INDIRECT("'renta'!G$"&amp;MATCH(O108,renta!$A:$A,0))*P108</f>
        <v>299.88</v>
      </c>
      <c r="S108" s="48">
        <f t="shared" si="8"/>
        <v>1032.827187</v>
      </c>
      <c r="T108" s="49" t="str">
        <f t="shared" si="4"/>
        <v>SAND</v>
      </c>
      <c r="U108" s="50">
        <f t="shared" si="5"/>
        <v>-3.424089906</v>
      </c>
      <c r="V108" s="80"/>
      <c r="W108" s="52" t="str">
        <f t="shared" si="6"/>
        <v/>
      </c>
      <c r="X108" s="52"/>
      <c r="Y108" s="80">
        <v>120.0</v>
      </c>
      <c r="Z108" s="39">
        <v>0.011469907407407408</v>
      </c>
      <c r="AA108" s="81" t="s">
        <v>671</v>
      </c>
      <c r="AB108" s="82" t="s">
        <v>672</v>
      </c>
      <c r="AC108" s="54" t="s">
        <v>673</v>
      </c>
      <c r="AD108" s="50"/>
      <c r="AE108" s="83"/>
      <c r="AF108" s="40" t="s">
        <v>674</v>
      </c>
      <c r="AG108" s="40" t="s">
        <v>675</v>
      </c>
      <c r="AH108" s="87">
        <v>22.0</v>
      </c>
      <c r="AI108" s="39"/>
    </row>
    <row r="109" hidden="1" outlineLevel="1">
      <c r="A109" s="58" t="s">
        <v>676</v>
      </c>
      <c r="B109" s="59">
        <v>1035.0</v>
      </c>
      <c r="C109" s="60">
        <v>0.1386689814814815</v>
      </c>
      <c r="D109" s="61">
        <f t="array" ref="D109">IFERROR(INDIRECT("'renta'!G$"&amp;MATCH(T109,renta!$A:$A,0))*0.975-(G109*INDIRECT("'renta'!G$"&amp;MATCH(F109,renta!$A:$A,0)))/B109-IFERROR((J109*INDIRECT("'renta'!G$"&amp;MATCH(I109,renta!$A:$A,0)))/B109,0),)</f>
        <v>-0.03802493767</v>
      </c>
      <c r="E109" s="41">
        <f t="shared" si="1"/>
        <v>-23.6509336</v>
      </c>
      <c r="F109" s="61" t="s">
        <v>21</v>
      </c>
      <c r="G109" s="62">
        <f t="shared" si="2"/>
        <v>2949.75</v>
      </c>
      <c r="H109" s="63" t="s">
        <v>677</v>
      </c>
      <c r="I109" s="64"/>
      <c r="J109" s="64"/>
      <c r="K109" s="64"/>
      <c r="L109" s="59" t="s">
        <v>137</v>
      </c>
      <c r="M109" s="65">
        <v>3.402</v>
      </c>
      <c r="N109" s="65">
        <v>75.0</v>
      </c>
      <c r="O109" s="66" t="s">
        <v>27</v>
      </c>
      <c r="P109" s="65">
        <v>46.0</v>
      </c>
      <c r="Q109" s="65"/>
      <c r="R109" s="67">
        <f t="array" ref="R109">INDIRECT("'renta'!G$"&amp;MATCH(O109,renta!$A:$A,0))*P109</f>
        <v>383.18</v>
      </c>
      <c r="S109" s="68">
        <f t="shared" si="8"/>
        <v>1416.007187</v>
      </c>
      <c r="T109" s="69" t="str">
        <f t="shared" si="4"/>
        <v>SAND</v>
      </c>
      <c r="U109" s="70">
        <f t="shared" si="5"/>
        <v>-2.578107306</v>
      </c>
      <c r="V109" s="71"/>
      <c r="W109" s="72" t="str">
        <f t="shared" si="6"/>
        <v/>
      </c>
      <c r="X109" s="72"/>
      <c r="Y109" s="71">
        <v>115.0</v>
      </c>
      <c r="Z109" s="60">
        <v>0.010034722222222223</v>
      </c>
      <c r="AA109" s="85" t="s">
        <v>678</v>
      </c>
      <c r="AB109" s="74" t="s">
        <v>679</v>
      </c>
      <c r="AC109" s="75" t="s">
        <v>680</v>
      </c>
      <c r="AD109" s="70"/>
      <c r="AE109" s="76"/>
      <c r="AF109" s="61" t="s">
        <v>674</v>
      </c>
      <c r="AG109" s="61" t="s">
        <v>681</v>
      </c>
      <c r="AH109" s="86">
        <v>23.0</v>
      </c>
      <c r="AI109" s="60"/>
    </row>
    <row r="110" hidden="1" outlineLevel="1">
      <c r="A110" s="78" t="s">
        <v>682</v>
      </c>
      <c r="B110" s="38">
        <v>1150.0</v>
      </c>
      <c r="C110" s="39">
        <v>0.148125</v>
      </c>
      <c r="D110" s="40">
        <f t="array" ref="D110">IFERROR(INDIRECT("'renta'!G$"&amp;MATCH(T110,renta!$A:$A,0))*0.975-(G110*INDIRECT("'renta'!G$"&amp;MATCH(F110,renta!$A:$A,0)))/B110-IFERROR((J110*INDIRECT("'renta'!G$"&amp;MATCH(I110,renta!$A:$A,0)))/B110,0),)</f>
        <v>-0.03802493767</v>
      </c>
      <c r="E110" s="41">
        <f t="shared" si="1"/>
        <v>-24.6012255</v>
      </c>
      <c r="F110" s="40" t="s">
        <v>21</v>
      </c>
      <c r="G110" s="43">
        <f t="shared" si="2"/>
        <v>3277.5</v>
      </c>
      <c r="H110" s="44" t="s">
        <v>683</v>
      </c>
      <c r="I110" s="79"/>
      <c r="J110" s="79"/>
      <c r="K110" s="79"/>
      <c r="L110" s="38" t="s">
        <v>137</v>
      </c>
      <c r="M110" s="46">
        <v>3.703</v>
      </c>
      <c r="N110" s="46">
        <v>75.0</v>
      </c>
      <c r="O110" s="42" t="s">
        <v>27</v>
      </c>
      <c r="P110" s="46">
        <v>57.0</v>
      </c>
      <c r="Q110" s="46"/>
      <c r="R110" s="47">
        <f t="array" ref="R110">INDIRECT("'renta'!G$"&amp;MATCH(O110,renta!$A:$A,0))*P110</f>
        <v>474.81</v>
      </c>
      <c r="S110" s="48">
        <f t="shared" si="8"/>
        <v>1890.817187</v>
      </c>
      <c r="T110" s="49" t="str">
        <f t="shared" si="4"/>
        <v>SAND</v>
      </c>
      <c r="U110" s="50">
        <f t="shared" si="5"/>
        <v>-2.001415076</v>
      </c>
      <c r="V110" s="80"/>
      <c r="W110" s="52" t="str">
        <f t="shared" si="6"/>
        <v/>
      </c>
      <c r="X110" s="52"/>
      <c r="Y110" s="80">
        <v>115.0</v>
      </c>
      <c r="Z110" s="39">
        <v>0.009456018518518518</v>
      </c>
      <c r="AA110" s="81" t="s">
        <v>684</v>
      </c>
      <c r="AB110" s="82" t="s">
        <v>685</v>
      </c>
      <c r="AC110" s="54" t="s">
        <v>686</v>
      </c>
      <c r="AD110" s="50"/>
      <c r="AE110" s="83"/>
      <c r="AF110" s="40" t="s">
        <v>687</v>
      </c>
      <c r="AG110" s="40" t="s">
        <v>688</v>
      </c>
      <c r="AH110" s="87">
        <v>23.0</v>
      </c>
      <c r="AI110" s="39"/>
    </row>
    <row r="111" hidden="1" outlineLevel="1">
      <c r="A111" s="58" t="s">
        <v>689</v>
      </c>
      <c r="B111" s="59">
        <v>1260.0</v>
      </c>
      <c r="C111" s="60">
        <v>0.15636574074074075</v>
      </c>
      <c r="D111" s="61">
        <f t="array" ref="D111">IFERROR(INDIRECT("'renta'!G$"&amp;MATCH(T111,renta!$A:$A,0))*0.975-(G111*INDIRECT("'renta'!G$"&amp;MATCH(F111,renta!$A:$A,0)))/B111-IFERROR((J111*INDIRECT("'renta'!G$"&amp;MATCH(I111,renta!$A:$A,0)))/B111,0),)</f>
        <v>-0.03802493767</v>
      </c>
      <c r="E111" s="41">
        <f t="shared" si="1"/>
        <v>-25.53384415</v>
      </c>
      <c r="F111" s="61" t="s">
        <v>21</v>
      </c>
      <c r="G111" s="62">
        <f t="shared" si="2"/>
        <v>3591</v>
      </c>
      <c r="H111" s="63" t="s">
        <v>690</v>
      </c>
      <c r="I111" s="64"/>
      <c r="J111" s="64"/>
      <c r="K111" s="64"/>
      <c r="L111" s="59" t="s">
        <v>137</v>
      </c>
      <c r="M111" s="65">
        <v>3.981</v>
      </c>
      <c r="N111" s="65">
        <v>75.0</v>
      </c>
      <c r="O111" s="66" t="s">
        <v>27</v>
      </c>
      <c r="P111" s="65">
        <v>71.0</v>
      </c>
      <c r="Q111" s="65"/>
      <c r="R111" s="67">
        <f t="array" ref="R111">INDIRECT("'renta'!G$"&amp;MATCH(O111,renta!$A:$A,0))*P111</f>
        <v>591.43</v>
      </c>
      <c r="S111" s="68">
        <f t="shared" si="8"/>
        <v>2482.247187</v>
      </c>
      <c r="T111" s="69" t="str">
        <f t="shared" si="4"/>
        <v>SAND</v>
      </c>
      <c r="U111" s="70">
        <f t="shared" si="5"/>
        <v>-1.576887643</v>
      </c>
      <c r="V111" s="71"/>
      <c r="W111" s="72" t="str">
        <f t="shared" si="6"/>
        <v/>
      </c>
      <c r="X111" s="72"/>
      <c r="Y111" s="71">
        <v>110.0</v>
      </c>
      <c r="Z111" s="60">
        <v>0.008252314814814815</v>
      </c>
      <c r="AA111" s="85" t="s">
        <v>691</v>
      </c>
      <c r="AB111" s="74" t="s">
        <v>692</v>
      </c>
      <c r="AC111" s="75" t="s">
        <v>693</v>
      </c>
      <c r="AD111" s="70"/>
      <c r="AE111" s="76"/>
      <c r="AF111" s="61" t="s">
        <v>694</v>
      </c>
      <c r="AG111" s="61" t="s">
        <v>695</v>
      </c>
      <c r="AH111" s="86">
        <v>24.0</v>
      </c>
      <c r="AI111" s="60"/>
    </row>
    <row r="112" hidden="1" outlineLevel="1">
      <c r="A112" s="78" t="s">
        <v>696</v>
      </c>
      <c r="B112" s="38">
        <v>1370.0</v>
      </c>
      <c r="C112" s="39">
        <v>0.1641550925925926</v>
      </c>
      <c r="D112" s="40">
        <f t="array" ref="D112">IFERROR(INDIRECT("'renta'!G$"&amp;MATCH(T112,renta!$A:$A,0))*0.975-(G112*INDIRECT("'renta'!G$"&amp;MATCH(F112,renta!$A:$A,0)))/B112-IFERROR((J112*INDIRECT("'renta'!G$"&amp;MATCH(I112,renta!$A:$A,0)))/B112,0),)</f>
        <v>-0.03802493767</v>
      </c>
      <c r="E112" s="41">
        <f t="shared" si="1"/>
        <v>-26.44560285</v>
      </c>
      <c r="F112" s="40" t="s">
        <v>21</v>
      </c>
      <c r="G112" s="43">
        <f t="shared" si="2"/>
        <v>3904.5</v>
      </c>
      <c r="H112" s="44" t="s">
        <v>697</v>
      </c>
      <c r="I112" s="79"/>
      <c r="J112" s="79"/>
      <c r="K112" s="79"/>
      <c r="L112" s="38" t="s">
        <v>137</v>
      </c>
      <c r="M112" s="46">
        <v>4.25</v>
      </c>
      <c r="N112" s="46">
        <v>75.0</v>
      </c>
      <c r="O112" s="42" t="s">
        <v>27</v>
      </c>
      <c r="P112" s="46">
        <v>87.0</v>
      </c>
      <c r="Q112" s="46"/>
      <c r="R112" s="47">
        <f t="array" ref="R112">INDIRECT("'renta'!G$"&amp;MATCH(O112,renta!$A:$A,0))*P112</f>
        <v>724.71</v>
      </c>
      <c r="S112" s="48">
        <f t="shared" si="8"/>
        <v>3206.957187</v>
      </c>
      <c r="T112" s="49" t="str">
        <f t="shared" si="4"/>
        <v>SAND</v>
      </c>
      <c r="U112" s="50">
        <f t="shared" si="5"/>
        <v>-1.258101435</v>
      </c>
      <c r="V112" s="80"/>
      <c r="W112" s="52" t="str">
        <f t="shared" si="6"/>
        <v/>
      </c>
      <c r="X112" s="52"/>
      <c r="Y112" s="80">
        <v>110.0</v>
      </c>
      <c r="Z112" s="39">
        <v>0.007789351851851852</v>
      </c>
      <c r="AA112" s="81" t="s">
        <v>698</v>
      </c>
      <c r="AB112" s="82" t="s">
        <v>699</v>
      </c>
      <c r="AC112" s="54" t="s">
        <v>700</v>
      </c>
      <c r="AD112" s="50"/>
      <c r="AE112" s="83"/>
      <c r="AF112" s="40" t="s">
        <v>694</v>
      </c>
      <c r="AG112" s="40" t="s">
        <v>701</v>
      </c>
      <c r="AH112" s="87">
        <v>24.0</v>
      </c>
      <c r="AI112" s="39"/>
    </row>
    <row r="113" hidden="1" outlineLevel="1">
      <c r="A113" s="58" t="s">
        <v>702</v>
      </c>
      <c r="B113" s="59">
        <v>1480.0</v>
      </c>
      <c r="C113" s="60">
        <v>0.17153935185185185</v>
      </c>
      <c r="D113" s="61">
        <f t="array" ref="D113">IFERROR(INDIRECT("'renta'!G$"&amp;MATCH(T113,renta!$A:$A,0))*0.975-(G113*INDIRECT("'renta'!G$"&amp;MATCH(F113,renta!$A:$A,0)))/B113-IFERROR((J113*INDIRECT("'renta'!G$"&amp;MATCH(I113,renta!$A:$A,0)))/B113,0),)</f>
        <v>-0.03802493767</v>
      </c>
      <c r="E113" s="41">
        <f t="shared" si="1"/>
        <v>-27.33916306</v>
      </c>
      <c r="F113" s="61" t="s">
        <v>21</v>
      </c>
      <c r="G113" s="62">
        <f t="shared" si="2"/>
        <v>4218</v>
      </c>
      <c r="H113" s="63" t="s">
        <v>703</v>
      </c>
      <c r="I113" s="64"/>
      <c r="J113" s="64"/>
      <c r="K113" s="64"/>
      <c r="L113" s="59" t="s">
        <v>137</v>
      </c>
      <c r="M113" s="65">
        <v>4.513</v>
      </c>
      <c r="N113" s="65">
        <v>75.0</v>
      </c>
      <c r="O113" s="66" t="s">
        <v>27</v>
      </c>
      <c r="P113" s="65">
        <v>106.0</v>
      </c>
      <c r="Q113" s="65"/>
      <c r="R113" s="67">
        <f t="array" ref="R113">INDIRECT("'renta'!G$"&amp;MATCH(O113,renta!$A:$A,0))*P113</f>
        <v>882.98</v>
      </c>
      <c r="S113" s="68">
        <f t="shared" si="8"/>
        <v>4089.937187</v>
      </c>
      <c r="T113" s="69" t="str">
        <f t="shared" si="4"/>
        <v>SAND</v>
      </c>
      <c r="U113" s="70">
        <f t="shared" si="5"/>
        <v>-1.0119824</v>
      </c>
      <c r="V113" s="71"/>
      <c r="W113" s="72" t="str">
        <f t="shared" si="6"/>
        <v/>
      </c>
      <c r="X113" s="72"/>
      <c r="Y113" s="71">
        <v>110.0</v>
      </c>
      <c r="Z113" s="60">
        <v>0.00738425925925926</v>
      </c>
      <c r="AA113" s="85" t="s">
        <v>704</v>
      </c>
      <c r="AB113" s="74" t="s">
        <v>705</v>
      </c>
      <c r="AC113" s="75" t="s">
        <v>706</v>
      </c>
      <c r="AD113" s="70"/>
      <c r="AE113" s="76"/>
      <c r="AF113" s="61" t="s">
        <v>707</v>
      </c>
      <c r="AG113" s="61" t="s">
        <v>708</v>
      </c>
      <c r="AH113" s="86">
        <v>25.0</v>
      </c>
      <c r="AI113" s="60"/>
    </row>
    <row r="114" hidden="1" outlineLevel="1">
      <c r="A114" s="78" t="s">
        <v>709</v>
      </c>
      <c r="B114" s="38">
        <v>1590.0</v>
      </c>
      <c r="C114" s="39">
        <v>0.17857638888888888</v>
      </c>
      <c r="D114" s="40">
        <f t="array" ref="D114">IFERROR(INDIRECT("'renta'!G$"&amp;MATCH(T114,renta!$A:$A,0))*0.975-(G114*INDIRECT("'renta'!G$"&amp;MATCH(F114,renta!$A:$A,0)))/B114-IFERROR((J114*INDIRECT("'renta'!G$"&amp;MATCH(I114,renta!$A:$A,0)))/B114,0),)</f>
        <v>-0.03802493767</v>
      </c>
      <c r="E114" s="41">
        <f t="shared" si="1"/>
        <v>-28.21372003</v>
      </c>
      <c r="F114" s="40" t="s">
        <v>21</v>
      </c>
      <c r="G114" s="43">
        <f t="shared" si="2"/>
        <v>4531.5</v>
      </c>
      <c r="H114" s="44" t="s">
        <v>710</v>
      </c>
      <c r="I114" s="79"/>
      <c r="J114" s="79"/>
      <c r="K114" s="79"/>
      <c r="L114" s="38" t="s">
        <v>137</v>
      </c>
      <c r="M114" s="46">
        <v>4.769</v>
      </c>
      <c r="N114" s="46">
        <v>75.0</v>
      </c>
      <c r="O114" s="42" t="s">
        <v>30</v>
      </c>
      <c r="P114" s="46">
        <v>26.0</v>
      </c>
      <c r="Q114" s="46"/>
      <c r="R114" s="47">
        <f t="array" ref="R114">INDIRECT("'renta'!G$"&amp;MATCH(O114,renta!$A:$A,0))*P114</f>
        <v>962</v>
      </c>
      <c r="S114" s="48">
        <f t="shared" si="8"/>
        <v>5051.937187</v>
      </c>
      <c r="T114" s="49" t="str">
        <f t="shared" si="4"/>
        <v>SAND</v>
      </c>
      <c r="U114" s="50">
        <f t="shared" si="5"/>
        <v>-0.9091028794</v>
      </c>
      <c r="V114" s="80"/>
      <c r="W114" s="52" t="str">
        <f t="shared" si="6"/>
        <v/>
      </c>
      <c r="X114" s="52"/>
      <c r="Y114" s="80">
        <v>110.0</v>
      </c>
      <c r="Z114" s="39">
        <v>0.007037037037037037</v>
      </c>
      <c r="AA114" s="81" t="s">
        <v>711</v>
      </c>
      <c r="AB114" s="82" t="s">
        <v>712</v>
      </c>
      <c r="AC114" s="54" t="s">
        <v>713</v>
      </c>
      <c r="AD114" s="50"/>
      <c r="AE114" s="83"/>
      <c r="AF114" s="40" t="s">
        <v>707</v>
      </c>
      <c r="AG114" s="40" t="s">
        <v>714</v>
      </c>
      <c r="AH114" s="87">
        <v>25.0</v>
      </c>
      <c r="AI114" s="39"/>
    </row>
    <row r="115" hidden="1" outlineLevel="1">
      <c r="A115" s="58" t="s">
        <v>715</v>
      </c>
      <c r="B115" s="59">
        <v>1700.0</v>
      </c>
      <c r="C115" s="60">
        <v>0.18530092592592592</v>
      </c>
      <c r="D115" s="61">
        <f t="array" ref="D115">IFERROR(INDIRECT("'renta'!G$"&amp;MATCH(T115,renta!$A:$A,0))*0.975-(G115*INDIRECT("'renta'!G$"&amp;MATCH(F115,renta!$A:$A,0)))/B115-IFERROR((J115*INDIRECT("'renta'!G$"&amp;MATCH(I115,renta!$A:$A,0)))/B115,0),)</f>
        <v>-0.03802493767</v>
      </c>
      <c r="E115" s="41">
        <f t="shared" si="1"/>
        <v>-29.070908</v>
      </c>
      <c r="F115" s="61" t="s">
        <v>21</v>
      </c>
      <c r="G115" s="62">
        <f t="shared" si="2"/>
        <v>4845</v>
      </c>
      <c r="H115" s="63" t="s">
        <v>716</v>
      </c>
      <c r="I115" s="64"/>
      <c r="J115" s="64"/>
      <c r="K115" s="64"/>
      <c r="L115" s="59" t="s">
        <v>137</v>
      </c>
      <c r="M115" s="65">
        <v>5.017</v>
      </c>
      <c r="N115" s="65">
        <v>75.0</v>
      </c>
      <c r="O115" s="66" t="s">
        <v>30</v>
      </c>
      <c r="P115" s="65">
        <v>31.0</v>
      </c>
      <c r="Q115" s="65"/>
      <c r="R115" s="67">
        <f t="array" ref="R115">INDIRECT("'renta'!G$"&amp;MATCH(O115,renta!$A:$A,0))*P115</f>
        <v>1147</v>
      </c>
      <c r="S115" s="68">
        <f t="shared" si="8"/>
        <v>6198.937187</v>
      </c>
      <c r="T115" s="69" t="str">
        <f t="shared" si="4"/>
        <v>SAND</v>
      </c>
      <c r="U115" s="70">
        <f t="shared" si="5"/>
        <v>-0.7473303952</v>
      </c>
      <c r="V115" s="71"/>
      <c r="W115" s="72" t="str">
        <f t="shared" si="6"/>
        <v/>
      </c>
      <c r="X115" s="72"/>
      <c r="Y115" s="71">
        <v>110.0</v>
      </c>
      <c r="Z115" s="60">
        <v>0.006736111111111111</v>
      </c>
      <c r="AA115" s="85" t="s">
        <v>717</v>
      </c>
      <c r="AB115" s="74" t="s">
        <v>718</v>
      </c>
      <c r="AC115" s="75" t="s">
        <v>719</v>
      </c>
      <c r="AD115" s="70"/>
      <c r="AE115" s="76"/>
      <c r="AF115" s="61" t="s">
        <v>720</v>
      </c>
      <c r="AG115" s="61" t="s">
        <v>721</v>
      </c>
      <c r="AH115" s="86">
        <v>25.0</v>
      </c>
      <c r="AI115" s="60"/>
    </row>
    <row r="116" hidden="1" outlineLevel="1">
      <c r="A116" s="78" t="s">
        <v>722</v>
      </c>
      <c r="B116" s="38">
        <v>1810.0</v>
      </c>
      <c r="C116" s="39">
        <v>0.1917824074074074</v>
      </c>
      <c r="D116" s="40">
        <f t="array" ref="D116">IFERROR(INDIRECT("'renta'!G$"&amp;MATCH(T116,renta!$A:$A,0))*0.975-(G116*INDIRECT("'renta'!G$"&amp;MATCH(F116,renta!$A:$A,0)))/B116-IFERROR((J116*INDIRECT("'renta'!G$"&amp;MATCH(I116,renta!$A:$A,0)))/B116,0),)</f>
        <v>-0.03802493767</v>
      </c>
      <c r="E116" s="41">
        <f t="shared" si="1"/>
        <v>-29.90591356</v>
      </c>
      <c r="F116" s="40" t="s">
        <v>21</v>
      </c>
      <c r="G116" s="43">
        <f t="shared" si="2"/>
        <v>5158.5</v>
      </c>
      <c r="H116" s="44" t="s">
        <v>723</v>
      </c>
      <c r="I116" s="79"/>
      <c r="J116" s="79"/>
      <c r="K116" s="79"/>
      <c r="L116" s="38" t="s">
        <v>137</v>
      </c>
      <c r="M116" s="46">
        <v>5.262</v>
      </c>
      <c r="N116" s="46">
        <v>75.0</v>
      </c>
      <c r="O116" s="42" t="s">
        <v>30</v>
      </c>
      <c r="P116" s="46">
        <v>37.0</v>
      </c>
      <c r="Q116" s="46"/>
      <c r="R116" s="47">
        <f t="array" ref="R116">INDIRECT("'renta'!G$"&amp;MATCH(O116,renta!$A:$A,0))*P116</f>
        <v>1369</v>
      </c>
      <c r="S116" s="48">
        <f t="shared" si="8"/>
        <v>7567.937187</v>
      </c>
      <c r="T116" s="49" t="str">
        <f t="shared" si="4"/>
        <v>SAND</v>
      </c>
      <c r="U116" s="50">
        <f t="shared" si="5"/>
        <v>-0.609938321</v>
      </c>
      <c r="V116" s="80"/>
      <c r="W116" s="52" t="str">
        <f t="shared" si="6"/>
        <v/>
      </c>
      <c r="X116" s="52"/>
      <c r="Y116" s="80">
        <v>110.0</v>
      </c>
      <c r="Z116" s="39">
        <v>0.006469907407407408</v>
      </c>
      <c r="AA116" s="81" t="s">
        <v>724</v>
      </c>
      <c r="AB116" s="82" t="s">
        <v>725</v>
      </c>
      <c r="AC116" s="54" t="s">
        <v>726</v>
      </c>
      <c r="AD116" s="50"/>
      <c r="AE116" s="83"/>
      <c r="AF116" s="40" t="s">
        <v>720</v>
      </c>
      <c r="AG116" s="40" t="s">
        <v>727</v>
      </c>
      <c r="AH116" s="87">
        <v>26.0</v>
      </c>
      <c r="AI116" s="39"/>
    </row>
    <row r="117" hidden="1" outlineLevel="1">
      <c r="A117" s="58" t="s">
        <v>728</v>
      </c>
      <c r="B117" s="59">
        <v>1915.0</v>
      </c>
      <c r="C117" s="60">
        <v>0.1975</v>
      </c>
      <c r="D117" s="61">
        <f t="array" ref="D117">IFERROR(INDIRECT("'renta'!G$"&amp;MATCH(T117,renta!$A:$A,0))*0.975-(G117*INDIRECT("'renta'!G$"&amp;MATCH(F117,renta!$A:$A,0)))/B117-IFERROR((J117*INDIRECT("'renta'!G$"&amp;MATCH(I117,renta!$A:$A,0)))/B117,0),)</f>
        <v>-0.03802493767</v>
      </c>
      <c r="E117" s="41">
        <f t="shared" si="1"/>
        <v>-30.72479141</v>
      </c>
      <c r="F117" s="61" t="s">
        <v>21</v>
      </c>
      <c r="G117" s="62">
        <f t="shared" si="2"/>
        <v>5457.75</v>
      </c>
      <c r="H117" s="63" t="s">
        <v>729</v>
      </c>
      <c r="I117" s="64"/>
      <c r="J117" s="64"/>
      <c r="K117" s="64"/>
      <c r="L117" s="59" t="s">
        <v>137</v>
      </c>
      <c r="M117" s="65">
        <v>5.485</v>
      </c>
      <c r="N117" s="65">
        <v>75.0</v>
      </c>
      <c r="O117" s="66" t="s">
        <v>30</v>
      </c>
      <c r="P117" s="65">
        <v>44.0</v>
      </c>
      <c r="Q117" s="65"/>
      <c r="R117" s="67">
        <f t="array" ref="R117">INDIRECT("'renta'!G$"&amp;MATCH(O117,renta!$A:$A,0))*P117</f>
        <v>1628</v>
      </c>
      <c r="S117" s="68">
        <f t="shared" si="8"/>
        <v>9195.937187</v>
      </c>
      <c r="T117" s="69" t="str">
        <f t="shared" si="4"/>
        <v>SAND</v>
      </c>
      <c r="U117" s="70">
        <f t="shared" si="5"/>
        <v>-0.5029962204</v>
      </c>
      <c r="V117" s="71"/>
      <c r="W117" s="72" t="str">
        <f t="shared" si="6"/>
        <v/>
      </c>
      <c r="X117" s="72"/>
      <c r="Y117" s="71">
        <v>105.0</v>
      </c>
      <c r="Z117" s="60">
        <v>0.005729166666666666</v>
      </c>
      <c r="AA117" s="85" t="s">
        <v>730</v>
      </c>
      <c r="AB117" s="74" t="s">
        <v>731</v>
      </c>
      <c r="AC117" s="75" t="s">
        <v>732</v>
      </c>
      <c r="AD117" s="70"/>
      <c r="AE117" s="76"/>
      <c r="AF117" s="61" t="s">
        <v>733</v>
      </c>
      <c r="AG117" s="61" t="s">
        <v>734</v>
      </c>
      <c r="AH117" s="86">
        <v>26.0</v>
      </c>
      <c r="AI117" s="60"/>
    </row>
    <row r="118" hidden="1" outlineLevel="1">
      <c r="A118" s="78" t="s">
        <v>735</v>
      </c>
      <c r="B118" s="38">
        <v>2020.0</v>
      </c>
      <c r="C118" s="39">
        <v>0.20305555555555554</v>
      </c>
      <c r="D118" s="40">
        <f t="array" ref="D118">IFERROR(INDIRECT("'renta'!G$"&amp;MATCH(T118,renta!$A:$A,0))*0.975-(G118*INDIRECT("'renta'!G$"&amp;MATCH(F118,renta!$A:$A,0)))/B118-IFERROR((J118*INDIRECT("'renta'!G$"&amp;MATCH(I118,renta!$A:$A,0)))/B118,0),)</f>
        <v>-0.03802493767</v>
      </c>
      <c r="E118" s="41">
        <f t="shared" si="1"/>
        <v>-31.52272534</v>
      </c>
      <c r="F118" s="40" t="s">
        <v>21</v>
      </c>
      <c r="G118" s="43">
        <f t="shared" si="2"/>
        <v>5757</v>
      </c>
      <c r="H118" s="44" t="s">
        <v>736</v>
      </c>
      <c r="I118" s="79"/>
      <c r="J118" s="79"/>
      <c r="K118" s="79"/>
      <c r="L118" s="38" t="s">
        <v>137</v>
      </c>
      <c r="M118" s="46">
        <v>5.705</v>
      </c>
      <c r="N118" s="46">
        <v>75.0</v>
      </c>
      <c r="O118" s="42" t="s">
        <v>30</v>
      </c>
      <c r="P118" s="46">
        <v>53.0</v>
      </c>
      <c r="Q118" s="46"/>
      <c r="R118" s="47">
        <f t="array" ref="R118">INDIRECT("'renta'!G$"&amp;MATCH(O118,renta!$A:$A,0))*P118</f>
        <v>1961</v>
      </c>
      <c r="S118" s="48">
        <f t="shared" si="8"/>
        <v>11156.93719</v>
      </c>
      <c r="T118" s="49" t="str">
        <f t="shared" si="4"/>
        <v>SAND</v>
      </c>
      <c r="U118" s="50">
        <f t="shared" si="5"/>
        <v>-0.406901549</v>
      </c>
      <c r="V118" s="80"/>
      <c r="W118" s="52" t="str">
        <f t="shared" si="6"/>
        <v/>
      </c>
      <c r="X118" s="52"/>
      <c r="Y118" s="80">
        <v>105.0</v>
      </c>
      <c r="Z118" s="39">
        <v>0.005555555555555556</v>
      </c>
      <c r="AA118" s="81" t="s">
        <v>737</v>
      </c>
      <c r="AB118" s="82" t="s">
        <v>738</v>
      </c>
      <c r="AC118" s="54" t="s">
        <v>739</v>
      </c>
      <c r="AD118" s="50"/>
      <c r="AE118" s="83"/>
      <c r="AF118" s="40" t="s">
        <v>733</v>
      </c>
      <c r="AG118" s="40" t="s">
        <v>740</v>
      </c>
      <c r="AH118" s="87">
        <v>27.0</v>
      </c>
      <c r="AI118" s="39"/>
    </row>
    <row r="119" hidden="1" outlineLevel="1">
      <c r="A119" s="58" t="s">
        <v>741</v>
      </c>
      <c r="B119" s="59">
        <v>2130.0</v>
      </c>
      <c r="C119" s="60">
        <v>0.20894675925925926</v>
      </c>
      <c r="D119" s="61">
        <f t="array" ref="D119">IFERROR(INDIRECT("'renta'!G$"&amp;MATCH(T119,renta!$A:$A,0))*0.975-(G119*INDIRECT("'renta'!G$"&amp;MATCH(F119,renta!$A:$A,0)))/B119-IFERROR((J119*INDIRECT("'renta'!G$"&amp;MATCH(I119,renta!$A:$A,0)))/B119,0),)</f>
        <v>-0.03802493767</v>
      </c>
      <c r="E119" s="41">
        <f t="shared" si="1"/>
        <v>-32.30213505</v>
      </c>
      <c r="F119" s="61" t="s">
        <v>21</v>
      </c>
      <c r="G119" s="62">
        <f t="shared" si="2"/>
        <v>6070.5</v>
      </c>
      <c r="H119" s="63" t="s">
        <v>742</v>
      </c>
      <c r="I119" s="64"/>
      <c r="J119" s="64"/>
      <c r="K119" s="64"/>
      <c r="L119" s="59" t="s">
        <v>137</v>
      </c>
      <c r="M119" s="65">
        <v>5.933</v>
      </c>
      <c r="N119" s="65">
        <v>75.0</v>
      </c>
      <c r="O119" s="66" t="s">
        <v>30</v>
      </c>
      <c r="P119" s="65">
        <v>63.0</v>
      </c>
      <c r="Q119" s="65"/>
      <c r="R119" s="67">
        <f t="array" ref="R119">INDIRECT("'renta'!G$"&amp;MATCH(O119,renta!$A:$A,0))*P119</f>
        <v>2331</v>
      </c>
      <c r="S119" s="68">
        <f t="shared" si="8"/>
        <v>13487.93719</v>
      </c>
      <c r="T119" s="69" t="str">
        <f t="shared" si="4"/>
        <v>SAND</v>
      </c>
      <c r="U119" s="70">
        <f t="shared" si="5"/>
        <v>-0.3343670985</v>
      </c>
      <c r="V119" s="71"/>
      <c r="W119" s="72" t="str">
        <f t="shared" si="6"/>
        <v/>
      </c>
      <c r="X119" s="72"/>
      <c r="Y119" s="71">
        <v>110.0</v>
      </c>
      <c r="Z119" s="60">
        <v>0.005891203703703704</v>
      </c>
      <c r="AA119" s="85" t="s">
        <v>743</v>
      </c>
      <c r="AB119" s="74" t="s">
        <v>744</v>
      </c>
      <c r="AC119" s="75" t="s">
        <v>745</v>
      </c>
      <c r="AD119" s="70"/>
      <c r="AE119" s="76"/>
      <c r="AF119" s="61" t="s">
        <v>746</v>
      </c>
      <c r="AG119" s="61" t="s">
        <v>747</v>
      </c>
      <c r="AH119" s="86">
        <v>27.0</v>
      </c>
      <c r="AI119" s="60"/>
    </row>
    <row r="120" hidden="1" outlineLevel="1">
      <c r="A120" s="78" t="s">
        <v>748</v>
      </c>
      <c r="B120" s="38">
        <v>2235.0</v>
      </c>
      <c r="C120" s="39">
        <v>0.2142013888888889</v>
      </c>
      <c r="D120" s="40">
        <f t="array" ref="D120">IFERROR(INDIRECT("'renta'!G$"&amp;MATCH(T120,renta!$A:$A,0))*0.975-(G120*INDIRECT("'renta'!G$"&amp;MATCH(F120,renta!$A:$A,0)))/B120-IFERROR((J120*INDIRECT("'renta'!G$"&amp;MATCH(I120,renta!$A:$A,0)))/B120,0),)</f>
        <v>-0.03802493767</v>
      </c>
      <c r="E120" s="41">
        <f t="shared" si="1"/>
        <v>-33.06301923</v>
      </c>
      <c r="F120" s="40" t="s">
        <v>21</v>
      </c>
      <c r="G120" s="43">
        <f t="shared" si="2"/>
        <v>6369.75</v>
      </c>
      <c r="H120" s="44" t="s">
        <v>749</v>
      </c>
      <c r="I120" s="79"/>
      <c r="J120" s="79"/>
      <c r="K120" s="79"/>
      <c r="L120" s="38" t="s">
        <v>137</v>
      </c>
      <c r="M120" s="46">
        <v>6.142</v>
      </c>
      <c r="N120" s="46">
        <v>75.0</v>
      </c>
      <c r="O120" s="42" t="s">
        <v>30</v>
      </c>
      <c r="P120" s="46">
        <v>76.0</v>
      </c>
      <c r="Q120" s="46"/>
      <c r="R120" s="47">
        <f t="array" ref="R120">INDIRECT("'renta'!G$"&amp;MATCH(O120,renta!$A:$A,0))*P120</f>
        <v>2812</v>
      </c>
      <c r="S120" s="48">
        <f t="shared" si="8"/>
        <v>16299.93719</v>
      </c>
      <c r="T120" s="49" t="str">
        <f t="shared" si="4"/>
        <v>SAND</v>
      </c>
      <c r="U120" s="50">
        <f t="shared" si="5"/>
        <v>-0.2705847021</v>
      </c>
      <c r="V120" s="80"/>
      <c r="W120" s="52" t="str">
        <f t="shared" si="6"/>
        <v/>
      </c>
      <c r="X120" s="52"/>
      <c r="Y120" s="80">
        <v>105.0</v>
      </c>
      <c r="Z120" s="39">
        <v>0.00525462962962963</v>
      </c>
      <c r="AA120" s="81" t="s">
        <v>750</v>
      </c>
      <c r="AB120" s="82" t="s">
        <v>751</v>
      </c>
      <c r="AC120" s="54" t="s">
        <v>752</v>
      </c>
      <c r="AD120" s="50"/>
      <c r="AE120" s="83"/>
      <c r="AF120" s="40" t="s">
        <v>746</v>
      </c>
      <c r="AG120" s="40" t="s">
        <v>753</v>
      </c>
      <c r="AH120" s="87">
        <v>27.0</v>
      </c>
      <c r="AI120" s="39"/>
    </row>
    <row r="121" hidden="1" outlineLevel="1">
      <c r="A121" s="58" t="s">
        <v>754</v>
      </c>
      <c r="B121" s="59">
        <v>2340.0</v>
      </c>
      <c r="C121" s="60">
        <v>0.21935185185185185</v>
      </c>
      <c r="D121" s="61">
        <f t="array" ref="D121">IFERROR(INDIRECT("'renta'!G$"&amp;MATCH(T121,renta!$A:$A,0))*0.975-(G121*INDIRECT("'renta'!G$"&amp;MATCH(F121,renta!$A:$A,0)))/B121-IFERROR((J121*INDIRECT("'renta'!G$"&amp;MATCH(I121,renta!$A:$A,0)))/B121,0),)</f>
        <v>-0.03802493767</v>
      </c>
      <c r="E121" s="41">
        <f t="shared" si="1"/>
        <v>-33.80351149</v>
      </c>
      <c r="F121" s="61" t="s">
        <v>21</v>
      </c>
      <c r="G121" s="62">
        <f t="shared" si="2"/>
        <v>6669</v>
      </c>
      <c r="H121" s="63" t="s">
        <v>755</v>
      </c>
      <c r="I121" s="64"/>
      <c r="J121" s="64"/>
      <c r="K121" s="64"/>
      <c r="L121" s="59" t="s">
        <v>137</v>
      </c>
      <c r="M121" s="65">
        <v>6.349</v>
      </c>
      <c r="N121" s="65">
        <v>75.0</v>
      </c>
      <c r="O121" s="66" t="s">
        <v>30</v>
      </c>
      <c r="P121" s="65">
        <v>90.0</v>
      </c>
      <c r="Q121" s="65"/>
      <c r="R121" s="67">
        <f t="array" ref="R121">INDIRECT("'renta'!G$"&amp;MATCH(O121,renta!$A:$A,0))*P121</f>
        <v>3330</v>
      </c>
      <c r="S121" s="68">
        <f t="shared" si="8"/>
        <v>19629.93719</v>
      </c>
      <c r="T121" s="69" t="str">
        <f t="shared" si="4"/>
        <v>SAND</v>
      </c>
      <c r="U121" s="70">
        <f t="shared" si="5"/>
        <v>-0.2223700481</v>
      </c>
      <c r="V121" s="71"/>
      <c r="W121" s="72" t="str">
        <f t="shared" si="6"/>
        <v/>
      </c>
      <c r="X121" s="72"/>
      <c r="Y121" s="71">
        <v>105.0</v>
      </c>
      <c r="Z121" s="60">
        <v>0.005138888888888889</v>
      </c>
      <c r="AA121" s="85" t="s">
        <v>756</v>
      </c>
      <c r="AB121" s="74" t="s">
        <v>757</v>
      </c>
      <c r="AC121" s="75" t="s">
        <v>758</v>
      </c>
      <c r="AD121" s="70"/>
      <c r="AE121" s="76"/>
      <c r="AF121" s="61" t="s">
        <v>759</v>
      </c>
      <c r="AG121" s="61" t="s">
        <v>760</v>
      </c>
      <c r="AH121" s="86">
        <v>28.0</v>
      </c>
      <c r="AI121" s="60"/>
    </row>
    <row r="122" hidden="1" outlineLevel="1">
      <c r="A122" s="78" t="s">
        <v>761</v>
      </c>
      <c r="B122" s="38">
        <v>2445.0</v>
      </c>
      <c r="C122" s="39">
        <v>0.22439814814814815</v>
      </c>
      <c r="D122" s="40">
        <f t="array" ref="D122">IFERROR(INDIRECT("'renta'!G$"&amp;MATCH(T122,renta!$A:$A,0))*0.975-(G122*INDIRECT("'renta'!G$"&amp;MATCH(F122,renta!$A:$A,0)))/B122-IFERROR((J122*INDIRECT("'renta'!G$"&amp;MATCH(I122,renta!$A:$A,0)))/B122,0),)</f>
        <v>-0.03802493767</v>
      </c>
      <c r="E122" s="41">
        <f t="shared" si="1"/>
        <v>-34.52604718</v>
      </c>
      <c r="F122" s="40" t="s">
        <v>21</v>
      </c>
      <c r="G122" s="43">
        <f t="shared" si="2"/>
        <v>6968.25</v>
      </c>
      <c r="H122" s="44" t="s">
        <v>762</v>
      </c>
      <c r="I122" s="79"/>
      <c r="J122" s="79"/>
      <c r="K122" s="79"/>
      <c r="L122" s="38" t="s">
        <v>137</v>
      </c>
      <c r="M122" s="46">
        <v>6.551</v>
      </c>
      <c r="N122" s="46">
        <v>75.0</v>
      </c>
      <c r="O122" s="42" t="s">
        <v>30</v>
      </c>
      <c r="P122" s="46">
        <v>107.0</v>
      </c>
      <c r="Q122" s="46"/>
      <c r="R122" s="47">
        <f t="array" ref="R122">INDIRECT("'renta'!G$"&amp;MATCH(O122,renta!$A:$A,0))*P122</f>
        <v>3959</v>
      </c>
      <c r="S122" s="48">
        <f t="shared" si="8"/>
        <v>23588.93719</v>
      </c>
      <c r="T122" s="49" t="str">
        <f t="shared" si="4"/>
        <v>SAND</v>
      </c>
      <c r="U122" s="50">
        <f t="shared" si="5"/>
        <v>-0.1825045934</v>
      </c>
      <c r="V122" s="80"/>
      <c r="W122" s="52" t="str">
        <f t="shared" si="6"/>
        <v/>
      </c>
      <c r="X122" s="52"/>
      <c r="Y122" s="80">
        <v>105.0</v>
      </c>
      <c r="Z122" s="39">
        <v>0.005046296296296296</v>
      </c>
      <c r="AA122" s="81" t="s">
        <v>763</v>
      </c>
      <c r="AB122" s="82" t="s">
        <v>764</v>
      </c>
      <c r="AC122" s="54" t="s">
        <v>765</v>
      </c>
      <c r="AD122" s="50"/>
      <c r="AE122" s="83"/>
      <c r="AF122" s="40" t="s">
        <v>759</v>
      </c>
      <c r="AG122" s="40" t="s">
        <v>766</v>
      </c>
      <c r="AH122" s="87">
        <v>28.0</v>
      </c>
      <c r="AI122" s="39"/>
    </row>
    <row r="123" hidden="1" outlineLevel="1">
      <c r="A123" s="58" t="s">
        <v>767</v>
      </c>
      <c r="B123" s="59">
        <v>2550.0</v>
      </c>
      <c r="C123" s="60">
        <v>0.22936342592592593</v>
      </c>
      <c r="D123" s="61">
        <f t="array" ref="D123">IFERROR(INDIRECT("'renta'!G$"&amp;MATCH(T123,renta!$A:$A,0))*0.975-(G123*INDIRECT("'renta'!G$"&amp;MATCH(F123,renta!$A:$A,0)))/B123-IFERROR((J123*INDIRECT("'renta'!G$"&amp;MATCH(I123,renta!$A:$A,0)))/B123,0),)</f>
        <v>-0.03802493767</v>
      </c>
      <c r="E123" s="41">
        <f t="shared" si="1"/>
        <v>-35.22924033</v>
      </c>
      <c r="F123" s="61" t="s">
        <v>21</v>
      </c>
      <c r="G123" s="62">
        <f t="shared" si="2"/>
        <v>7267.5</v>
      </c>
      <c r="H123" s="63" t="s">
        <v>768</v>
      </c>
      <c r="I123" s="64"/>
      <c r="J123" s="64"/>
      <c r="K123" s="64"/>
      <c r="L123" s="59" t="s">
        <v>137</v>
      </c>
      <c r="M123" s="65">
        <v>6.748</v>
      </c>
      <c r="N123" s="65">
        <v>75.0</v>
      </c>
      <c r="O123" s="66" t="s">
        <v>34</v>
      </c>
      <c r="P123" s="65">
        <v>42.0</v>
      </c>
      <c r="Q123" s="65"/>
      <c r="R123" s="67">
        <f t="array" ref="R123">INDIRECT("'renta'!G$"&amp;MATCH(O123,renta!$A:$A,0))*P123</f>
        <v>5572.650427</v>
      </c>
      <c r="S123" s="68">
        <f t="shared" si="8"/>
        <v>29161.58761</v>
      </c>
      <c r="T123" s="69" t="str">
        <f t="shared" si="4"/>
        <v>SAND</v>
      </c>
      <c r="U123" s="70">
        <f t="shared" si="5"/>
        <v>-0.1261864814</v>
      </c>
      <c r="V123" s="71"/>
      <c r="W123" s="72" t="str">
        <f t="shared" si="6"/>
        <v/>
      </c>
      <c r="X123" s="72"/>
      <c r="Y123" s="71">
        <v>105.0</v>
      </c>
      <c r="Z123" s="60">
        <v>0.004965277777777778</v>
      </c>
      <c r="AA123" s="85" t="s">
        <v>484</v>
      </c>
      <c r="AB123" s="74" t="s">
        <v>769</v>
      </c>
      <c r="AC123" s="75" t="s">
        <v>770</v>
      </c>
      <c r="AD123" s="70"/>
      <c r="AE123" s="76"/>
      <c r="AF123" s="61" t="s">
        <v>771</v>
      </c>
      <c r="AG123" s="61" t="s">
        <v>772</v>
      </c>
      <c r="AH123" s="86">
        <v>28.0</v>
      </c>
      <c r="AI123" s="60"/>
    </row>
    <row r="124" hidden="1" outlineLevel="1">
      <c r="A124" s="78" t="s">
        <v>773</v>
      </c>
      <c r="B124" s="38">
        <v>2650.0</v>
      </c>
      <c r="C124" s="39">
        <v>0.23380787037037037</v>
      </c>
      <c r="D124" s="40">
        <f t="array" ref="D124">IFERROR(INDIRECT("'renta'!G$"&amp;MATCH(T124,renta!$A:$A,0))*0.975-(G124*INDIRECT("'renta'!G$"&amp;MATCH(F124,renta!$A:$A,0)))/B124-IFERROR((J124*INDIRECT("'renta'!G$"&amp;MATCH(I124,renta!$A:$A,0)))/B124,0),)</f>
        <v>-0.03802493767</v>
      </c>
      <c r="E124" s="41">
        <f t="shared" si="1"/>
        <v>-35.91484633</v>
      </c>
      <c r="F124" s="40" t="s">
        <v>21</v>
      </c>
      <c r="G124" s="43">
        <f t="shared" si="2"/>
        <v>7552.5</v>
      </c>
      <c r="H124" s="44" t="s">
        <v>774</v>
      </c>
      <c r="I124" s="79"/>
      <c r="J124" s="79"/>
      <c r="K124" s="79"/>
      <c r="L124" s="38" t="s">
        <v>137</v>
      </c>
      <c r="M124" s="46">
        <v>6.93</v>
      </c>
      <c r="N124" s="46">
        <v>75.0</v>
      </c>
      <c r="O124" s="42" t="s">
        <v>34</v>
      </c>
      <c r="P124" s="46">
        <v>50.0</v>
      </c>
      <c r="Q124" s="46"/>
      <c r="R124" s="47">
        <f t="array" ref="R124">INDIRECT("'renta'!G$"&amp;MATCH(O124,renta!$A:$A,0))*P124</f>
        <v>6634.107651</v>
      </c>
      <c r="S124" s="48">
        <f t="shared" si="8"/>
        <v>35795.69526</v>
      </c>
      <c r="T124" s="49" t="str">
        <f t="shared" si="4"/>
        <v>SAND</v>
      </c>
      <c r="U124" s="50">
        <f t="shared" si="5"/>
        <v>-0.103345625</v>
      </c>
      <c r="V124" s="80"/>
      <c r="W124" s="52" t="str">
        <f t="shared" si="6"/>
        <v/>
      </c>
      <c r="X124" s="52"/>
      <c r="Y124" s="80">
        <v>100.0</v>
      </c>
      <c r="Z124" s="39">
        <v>0.004456018518518519</v>
      </c>
      <c r="AA124" s="81" t="s">
        <v>775</v>
      </c>
      <c r="AB124" s="82" t="s">
        <v>776</v>
      </c>
      <c r="AC124" s="54" t="s">
        <v>777</v>
      </c>
      <c r="AD124" s="50"/>
      <c r="AE124" s="83"/>
      <c r="AF124" s="40" t="s">
        <v>771</v>
      </c>
      <c r="AG124" s="40" t="s">
        <v>778</v>
      </c>
      <c r="AH124" s="87">
        <v>29.0</v>
      </c>
      <c r="AI124" s="39"/>
    </row>
    <row r="125" hidden="1" outlineLevel="1">
      <c r="A125" s="58" t="s">
        <v>779</v>
      </c>
      <c r="B125" s="59">
        <v>2750.0</v>
      </c>
      <c r="C125" s="60">
        <v>0.2382175925925926</v>
      </c>
      <c r="D125" s="61">
        <f t="array" ref="D125">IFERROR(INDIRECT("'renta'!G$"&amp;MATCH(T125,renta!$A:$A,0))*0.975-(G125*INDIRECT("'renta'!G$"&amp;MATCH(F125,renta!$A:$A,0)))/B125-IFERROR((J125*INDIRECT("'renta'!G$"&amp;MATCH(I125,renta!$A:$A,0)))/B125,0),)</f>
        <v>-0.03802493767</v>
      </c>
      <c r="E125" s="41">
        <f t="shared" si="1"/>
        <v>-36.58020434</v>
      </c>
      <c r="F125" s="61" t="s">
        <v>21</v>
      </c>
      <c r="G125" s="62">
        <f t="shared" si="2"/>
        <v>7837.5</v>
      </c>
      <c r="H125" s="63" t="s">
        <v>780</v>
      </c>
      <c r="I125" s="64"/>
      <c r="J125" s="64"/>
      <c r="K125" s="64"/>
      <c r="L125" s="59" t="s">
        <v>137</v>
      </c>
      <c r="M125" s="65">
        <v>7.109</v>
      </c>
      <c r="N125" s="65">
        <v>75.0</v>
      </c>
      <c r="O125" s="66" t="s">
        <v>34</v>
      </c>
      <c r="P125" s="65">
        <v>59.0</v>
      </c>
      <c r="Q125" s="65"/>
      <c r="R125" s="67">
        <f t="array" ref="R125">INDIRECT("'renta'!G$"&amp;MATCH(O125,renta!$A:$A,0))*P125</f>
        <v>7828.247028</v>
      </c>
      <c r="S125" s="68">
        <f t="shared" si="8"/>
        <v>43623.94229</v>
      </c>
      <c r="T125" s="69" t="str">
        <f t="shared" si="4"/>
        <v>SAND</v>
      </c>
      <c r="U125" s="70">
        <f t="shared" si="5"/>
        <v>-0.08499450935</v>
      </c>
      <c r="V125" s="71"/>
      <c r="W125" s="72" t="str">
        <f t="shared" si="6"/>
        <v/>
      </c>
      <c r="X125" s="72"/>
      <c r="Y125" s="71">
        <v>100.0</v>
      </c>
      <c r="Z125" s="60">
        <v>0.004409722222222222</v>
      </c>
      <c r="AA125" s="85" t="s">
        <v>276</v>
      </c>
      <c r="AB125" s="74" t="s">
        <v>781</v>
      </c>
      <c r="AC125" s="75" t="s">
        <v>782</v>
      </c>
      <c r="AD125" s="70"/>
      <c r="AE125" s="76"/>
      <c r="AF125" s="61" t="s">
        <v>783</v>
      </c>
      <c r="AG125" s="61" t="s">
        <v>784</v>
      </c>
      <c r="AH125" s="86">
        <v>29.0</v>
      </c>
      <c r="AI125" s="60"/>
    </row>
    <row r="126" hidden="1" outlineLevel="1">
      <c r="A126" s="78" t="s">
        <v>785</v>
      </c>
      <c r="B126" s="38">
        <v>2850.0</v>
      </c>
      <c r="C126" s="39">
        <v>0.24259259259259258</v>
      </c>
      <c r="D126" s="40">
        <f t="array" ref="D126">IFERROR(INDIRECT("'renta'!G$"&amp;MATCH(T126,renta!$A:$A,0))*0.975-(G126*INDIRECT("'renta'!G$"&amp;MATCH(F126,renta!$A:$A,0)))/B126-IFERROR((J126*INDIRECT("'renta'!G$"&amp;MATCH(I126,renta!$A:$A,0)))/B126,0),)</f>
        <v>-0.03802493767</v>
      </c>
      <c r="E126" s="41">
        <f t="shared" si="1"/>
        <v>-37.22670424</v>
      </c>
      <c r="F126" s="40" t="s">
        <v>21</v>
      </c>
      <c r="G126" s="43">
        <f t="shared" si="2"/>
        <v>8122.5</v>
      </c>
      <c r="H126" s="44" t="s">
        <v>786</v>
      </c>
      <c r="I126" s="79"/>
      <c r="J126" s="79"/>
      <c r="K126" s="79"/>
      <c r="L126" s="38" t="s">
        <v>137</v>
      </c>
      <c r="M126" s="46">
        <v>7.285</v>
      </c>
      <c r="N126" s="46">
        <v>75.0</v>
      </c>
      <c r="O126" s="42" t="s">
        <v>34</v>
      </c>
      <c r="P126" s="46">
        <v>72.0</v>
      </c>
      <c r="Q126" s="46"/>
      <c r="R126" s="47">
        <f t="array" ref="R126">INDIRECT("'renta'!G$"&amp;MATCH(O126,renta!$A:$A,0))*P126</f>
        <v>9553.115017</v>
      </c>
      <c r="S126" s="48">
        <f t="shared" si="8"/>
        <v>53177.05731</v>
      </c>
      <c r="T126" s="49" t="str">
        <f t="shared" si="4"/>
        <v>SAND</v>
      </c>
      <c r="U126" s="50">
        <f t="shared" si="5"/>
        <v>-0.06767425051</v>
      </c>
      <c r="V126" s="80"/>
      <c r="W126" s="52" t="str">
        <f t="shared" si="6"/>
        <v/>
      </c>
      <c r="X126" s="52"/>
      <c r="Y126" s="80">
        <v>100.0</v>
      </c>
      <c r="Z126" s="39">
        <v>0.004375</v>
      </c>
      <c r="AA126" s="81" t="s">
        <v>787</v>
      </c>
      <c r="AB126" s="82" t="s">
        <v>788</v>
      </c>
      <c r="AC126" s="54" t="s">
        <v>789</v>
      </c>
      <c r="AD126" s="50"/>
      <c r="AE126" s="83"/>
      <c r="AF126" s="40" t="s">
        <v>783</v>
      </c>
      <c r="AG126" s="40" t="s">
        <v>790</v>
      </c>
      <c r="AH126" s="87">
        <v>29.0</v>
      </c>
      <c r="AI126" s="39"/>
    </row>
    <row r="127" hidden="1" outlineLevel="1">
      <c r="A127" s="58" t="s">
        <v>791</v>
      </c>
      <c r="B127" s="59">
        <v>2950.0</v>
      </c>
      <c r="C127" s="60">
        <v>0.24694444444444444</v>
      </c>
      <c r="D127" s="61">
        <f t="array" ref="D127">IFERROR(INDIRECT("'renta'!G$"&amp;MATCH(T127,renta!$A:$A,0))*0.975-(G127*INDIRECT("'renta'!G$"&amp;MATCH(F127,renta!$A:$A,0)))/B127-IFERROR((J127*INDIRECT("'renta'!G$"&amp;MATCH(I127,renta!$A:$A,0)))/B127,0),)</f>
        <v>-0.03802493767</v>
      </c>
      <c r="E127" s="41">
        <f t="shared" si="1"/>
        <v>-37.85384683</v>
      </c>
      <c r="F127" s="61" t="s">
        <v>21</v>
      </c>
      <c r="G127" s="62">
        <f t="shared" si="2"/>
        <v>8407.5</v>
      </c>
      <c r="H127" s="63" t="s">
        <v>792</v>
      </c>
      <c r="I127" s="64"/>
      <c r="J127" s="64"/>
      <c r="K127" s="64"/>
      <c r="L127" s="59" t="s">
        <v>137</v>
      </c>
      <c r="M127" s="65">
        <v>7.458</v>
      </c>
      <c r="N127" s="65">
        <v>75.0</v>
      </c>
      <c r="O127" s="66" t="s">
        <v>34</v>
      </c>
      <c r="P127" s="65">
        <v>105.0</v>
      </c>
      <c r="Q127" s="65"/>
      <c r="R127" s="67">
        <f t="array" ref="R127">INDIRECT("'renta'!G$"&amp;MATCH(O127,renta!$A:$A,0))*P127</f>
        <v>13931.62607</v>
      </c>
      <c r="S127" s="68">
        <f t="shared" si="8"/>
        <v>67108.68338</v>
      </c>
      <c r="T127" s="69" t="str">
        <f t="shared" si="4"/>
        <v>SAND</v>
      </c>
      <c r="U127" s="70">
        <f t="shared" si="5"/>
        <v>-0.04501574965</v>
      </c>
      <c r="V127" s="71"/>
      <c r="W127" s="72" t="str">
        <f t="shared" si="6"/>
        <v/>
      </c>
      <c r="X127" s="72"/>
      <c r="Y127" s="71">
        <v>100.0</v>
      </c>
      <c r="Z127" s="60">
        <v>0.0043518518518518515</v>
      </c>
      <c r="AA127" s="85" t="s">
        <v>793</v>
      </c>
      <c r="AB127" s="74" t="s">
        <v>794</v>
      </c>
      <c r="AC127" s="75" t="s">
        <v>795</v>
      </c>
      <c r="AD127" s="70"/>
      <c r="AE127" s="76"/>
      <c r="AF127" s="61" t="s">
        <v>796</v>
      </c>
      <c r="AG127" s="61" t="s">
        <v>797</v>
      </c>
      <c r="AH127" s="86">
        <v>30.0</v>
      </c>
      <c r="AI127" s="60"/>
    </row>
    <row r="128" hidden="1" outlineLevel="1">
      <c r="A128" s="78" t="s">
        <v>798</v>
      </c>
      <c r="B128" s="38">
        <v>3035.0</v>
      </c>
      <c r="C128" s="39">
        <v>0.25</v>
      </c>
      <c r="D128" s="40">
        <f t="array" ref="D128">IFERROR(INDIRECT("'renta'!G$"&amp;MATCH(T128,renta!$A:$A,0))*0.975-(G128*INDIRECT("'renta'!G$"&amp;MATCH(F128,renta!$A:$A,0)))/B128-IFERROR((J128*INDIRECT("'renta'!G$"&amp;MATCH(I128,renta!$A:$A,0)))/B128,0),)</f>
        <v>-0.03802493767</v>
      </c>
      <c r="E128" s="41">
        <f t="shared" si="1"/>
        <v>-38.46856194</v>
      </c>
      <c r="F128" s="40" t="s">
        <v>21</v>
      </c>
      <c r="G128" s="43">
        <f t="shared" si="2"/>
        <v>8649.75</v>
      </c>
      <c r="H128" s="44" t="s">
        <v>799</v>
      </c>
      <c r="I128" s="79"/>
      <c r="J128" s="79"/>
      <c r="K128" s="79"/>
      <c r="L128" s="38" t="s">
        <v>137</v>
      </c>
      <c r="M128" s="46">
        <v>7.588</v>
      </c>
      <c r="N128" s="46">
        <v>75.0</v>
      </c>
      <c r="O128" s="42" t="s">
        <v>34</v>
      </c>
      <c r="P128" s="46">
        <v>150.0</v>
      </c>
      <c r="Q128" s="46"/>
      <c r="R128" s="47">
        <f t="array" ref="R128">INDIRECT("'renta'!G$"&amp;MATCH(O128,renta!$A:$A,0))*P128</f>
        <v>19902.32295</v>
      </c>
      <c r="S128" s="48">
        <f t="shared" si="8"/>
        <v>87011.00633</v>
      </c>
      <c r="T128" s="49" t="str">
        <f t="shared" si="4"/>
        <v>SAND</v>
      </c>
      <c r="U128" s="50">
        <f t="shared" si="5"/>
        <v>-0.0308866009</v>
      </c>
      <c r="V128" s="80"/>
      <c r="W128" s="52" t="str">
        <f t="shared" si="6"/>
        <v/>
      </c>
      <c r="X128" s="52"/>
      <c r="Y128" s="80">
        <v>85.0</v>
      </c>
      <c r="Z128" s="39">
        <v>0.0030555555555555557</v>
      </c>
      <c r="AA128" s="81" t="s">
        <v>800</v>
      </c>
      <c r="AB128" s="82" t="s">
        <v>801</v>
      </c>
      <c r="AC128" s="54" t="s">
        <v>802</v>
      </c>
      <c r="AD128" s="50"/>
      <c r="AE128" s="83"/>
      <c r="AF128" s="40" t="s">
        <v>796</v>
      </c>
      <c r="AG128" s="40" t="s">
        <v>803</v>
      </c>
      <c r="AH128" s="87">
        <v>30.0</v>
      </c>
      <c r="AI128" s="39"/>
    </row>
    <row r="129" hidden="1" outlineLevel="1">
      <c r="A129" s="96"/>
      <c r="B129" s="97"/>
      <c r="C129" s="98"/>
      <c r="D129" s="61" t="str">
        <f t="array" ref="D129">IFERROR(INDIRECT("'renta'!G$"&amp;MATCH(T129,renta!$A:$A,0))*0.975-(G129*INDIRECT("'renta'!G$"&amp;MATCH(F129,renta!$A:$A,0)))/B129-IFERROR((J129*INDIRECT("'renta'!G$"&amp;MATCH(I129,renta!$A:$A,0)))/B129,0),)</f>
        <v/>
      </c>
      <c r="E129" s="41">
        <f t="shared" si="1"/>
        <v>0</v>
      </c>
      <c r="F129" s="64"/>
      <c r="G129" s="62">
        <f t="shared" si="2"/>
        <v>0</v>
      </c>
      <c r="H129" s="99"/>
      <c r="I129" s="64"/>
      <c r="J129" s="64"/>
      <c r="K129" s="64"/>
      <c r="L129" s="100"/>
      <c r="M129" s="101"/>
      <c r="N129" s="101"/>
      <c r="O129" s="102"/>
      <c r="P129" s="101"/>
      <c r="Q129" s="101"/>
      <c r="R129" s="67"/>
      <c r="S129" s="68"/>
      <c r="T129" s="69" t="str">
        <f t="shared" si="4"/>
        <v/>
      </c>
      <c r="U129" s="70" t="str">
        <f t="shared" si="5"/>
        <v>#DIV/0!</v>
      </c>
      <c r="V129" s="103"/>
      <c r="W129" s="72" t="str">
        <f t="shared" si="6"/>
        <v/>
      </c>
      <c r="X129" s="72"/>
      <c r="Y129" s="103"/>
      <c r="Z129" s="98"/>
      <c r="AA129" s="104"/>
      <c r="AB129" s="70"/>
      <c r="AC129" s="76"/>
      <c r="AD129" s="70"/>
      <c r="AE129" s="76"/>
      <c r="AF129" s="64"/>
      <c r="AG129" s="64"/>
      <c r="AH129" s="77"/>
      <c r="AI129" s="98"/>
    </row>
    <row r="130" hidden="1" outlineLevel="1">
      <c r="A130" s="78" t="s">
        <v>804</v>
      </c>
      <c r="B130" s="38">
        <v>1.0</v>
      </c>
      <c r="C130" s="39">
        <v>0.041666666666666664</v>
      </c>
      <c r="D130" s="40">
        <f t="array" ref="D130">IFERROR(INDIRECT("'renta'!G$"&amp;MATCH(T130,renta!$A:$A,0))*0.975-(G130*INDIRECT("'renta'!G$"&amp;MATCH(F130,renta!$A:$A,0)))/B130-IFERROR((J130*INDIRECT("'renta'!G$"&amp;MATCH(I130,renta!$A:$A,0)))/B130,0),)</f>
        <v>-0.7636748989</v>
      </c>
      <c r="E130" s="41">
        <f t="shared" si="1"/>
        <v>-1.527349798</v>
      </c>
      <c r="F130" s="40" t="s">
        <v>24</v>
      </c>
      <c r="G130" s="43">
        <f t="shared" si="2"/>
        <v>28.5</v>
      </c>
      <c r="H130" s="44" t="s">
        <v>603</v>
      </c>
      <c r="I130" s="79"/>
      <c r="J130" s="79"/>
      <c r="K130" s="79"/>
      <c r="L130" s="38" t="s">
        <v>137</v>
      </c>
      <c r="M130" s="46">
        <v>250.0</v>
      </c>
      <c r="N130" s="46">
        <v>2.0</v>
      </c>
      <c r="O130" s="42" t="s">
        <v>12</v>
      </c>
      <c r="P130" s="46">
        <v>1.0</v>
      </c>
      <c r="Q130" s="46"/>
      <c r="R130" s="47">
        <f t="array" ref="R130">INDIRECT("'renta'!G$"&amp;MATCH(O130,renta!$A:$A,0))*P130</f>
        <v>0.0041</v>
      </c>
      <c r="S130" s="48">
        <f t="shared" ref="S130:S158" si="9">SUM(R$130:R130)</f>
        <v>0.0041</v>
      </c>
      <c r="T130" s="49" t="str">
        <f t="shared" si="4"/>
        <v>COPPER</v>
      </c>
      <c r="U130" s="50">
        <f t="shared" si="5"/>
        <v>-372524.341</v>
      </c>
      <c r="V130" s="80"/>
      <c r="W130" s="52" t="str">
        <f t="shared" si="6"/>
        <v/>
      </c>
      <c r="X130" s="52"/>
      <c r="Y130" s="80">
        <v>0.0</v>
      </c>
      <c r="Z130" s="39">
        <v>0.0</v>
      </c>
      <c r="AA130" s="53">
        <v>0.0</v>
      </c>
      <c r="AB130" s="82" t="s">
        <v>805</v>
      </c>
      <c r="AC130" s="54" t="s">
        <v>805</v>
      </c>
      <c r="AD130" s="50"/>
      <c r="AE130" s="83"/>
      <c r="AF130" s="40" t="s">
        <v>806</v>
      </c>
      <c r="AG130" s="40" t="s">
        <v>807</v>
      </c>
      <c r="AH130" s="87">
        <v>8.0</v>
      </c>
      <c r="AI130" s="39"/>
    </row>
    <row r="131" hidden="1" outlineLevel="1">
      <c r="A131" s="58" t="s">
        <v>808</v>
      </c>
      <c r="B131" s="59">
        <v>2.0</v>
      </c>
      <c r="C131" s="60">
        <v>0.041666666666666664</v>
      </c>
      <c r="D131" s="61">
        <f t="array" ref="D131">IFERROR(INDIRECT("'renta'!G$"&amp;MATCH(T131,renta!$A:$A,0))*0.975-(G131*INDIRECT("'renta'!G$"&amp;MATCH(F131,renta!$A:$A,0)))/B131-IFERROR((J131*INDIRECT("'renta'!G$"&amp;MATCH(I131,renta!$A:$A,0)))/B131,0),)</f>
        <v>-0.7636748989</v>
      </c>
      <c r="E131" s="41">
        <f t="shared" si="1"/>
        <v>-3.054699596</v>
      </c>
      <c r="F131" s="61" t="s">
        <v>24</v>
      </c>
      <c r="G131" s="62">
        <f t="shared" si="2"/>
        <v>57</v>
      </c>
      <c r="H131" s="63" t="s">
        <v>608</v>
      </c>
      <c r="I131" s="64"/>
      <c r="J131" s="64"/>
      <c r="K131" s="64"/>
      <c r="L131" s="59" t="s">
        <v>137</v>
      </c>
      <c r="M131" s="65">
        <v>480.0</v>
      </c>
      <c r="N131" s="65">
        <v>2.0</v>
      </c>
      <c r="O131" s="66" t="s">
        <v>27</v>
      </c>
      <c r="P131" s="65">
        <v>1.0</v>
      </c>
      <c r="Q131" s="65"/>
      <c r="R131" s="67">
        <f t="array" ref="R131">INDIRECT("'renta'!G$"&amp;MATCH(O131,renta!$A:$A,0))*P131</f>
        <v>8.33</v>
      </c>
      <c r="S131" s="68">
        <f t="shared" si="9"/>
        <v>8.3341</v>
      </c>
      <c r="T131" s="69" t="str">
        <f t="shared" si="4"/>
        <v>COPPER</v>
      </c>
      <c r="U131" s="70">
        <f t="shared" si="5"/>
        <v>-183.3553179</v>
      </c>
      <c r="V131" s="71"/>
      <c r="W131" s="72" t="str">
        <f t="shared" si="6"/>
        <v/>
      </c>
      <c r="X131" s="72"/>
      <c r="Y131" s="71">
        <v>1.0</v>
      </c>
      <c r="Z131" s="60">
        <v>0.0</v>
      </c>
      <c r="AA131" s="73">
        <v>1.0</v>
      </c>
      <c r="AB131" s="74" t="s">
        <v>809</v>
      </c>
      <c r="AC131" s="75" t="s">
        <v>810</v>
      </c>
      <c r="AD131" s="70"/>
      <c r="AE131" s="76"/>
      <c r="AF131" s="61" t="s">
        <v>806</v>
      </c>
      <c r="AG131" s="61" t="s">
        <v>811</v>
      </c>
      <c r="AH131" s="86">
        <v>8.0</v>
      </c>
      <c r="AI131" s="60"/>
    </row>
    <row r="132" hidden="1" outlineLevel="1">
      <c r="A132" s="78" t="s">
        <v>812</v>
      </c>
      <c r="B132" s="38">
        <v>4.0</v>
      </c>
      <c r="C132" s="39">
        <v>0.05747685185185185</v>
      </c>
      <c r="D132" s="40">
        <f t="array" ref="D132">IFERROR(INDIRECT("'renta'!G$"&amp;MATCH(T132,renta!$A:$A,0))*0.975-(G132*INDIRECT("'renta'!G$"&amp;MATCH(F132,renta!$A:$A,0)))/B132-IFERROR((J132*INDIRECT("'renta'!G$"&amp;MATCH(I132,renta!$A:$A,0)))/B132,0),)</f>
        <v>-0.7636748989</v>
      </c>
      <c r="E132" s="41">
        <f t="shared" si="1"/>
        <v>-4.428883828</v>
      </c>
      <c r="F132" s="40" t="s">
        <v>24</v>
      </c>
      <c r="G132" s="43">
        <f t="shared" si="2"/>
        <v>114</v>
      </c>
      <c r="H132" s="44" t="s">
        <v>614</v>
      </c>
      <c r="I132" s="79"/>
      <c r="J132" s="79"/>
      <c r="K132" s="79"/>
      <c r="L132" s="38" t="s">
        <v>137</v>
      </c>
      <c r="M132" s="46">
        <v>923.0</v>
      </c>
      <c r="N132" s="46">
        <v>2.0</v>
      </c>
      <c r="O132" s="42" t="s">
        <v>27</v>
      </c>
      <c r="P132" s="46">
        <v>2.0</v>
      </c>
      <c r="Q132" s="46"/>
      <c r="R132" s="47">
        <f t="array" ref="R132">INDIRECT("'renta'!G$"&amp;MATCH(O132,renta!$A:$A,0))*P132</f>
        <v>16.66</v>
      </c>
      <c r="S132" s="48">
        <f t="shared" si="9"/>
        <v>24.9941</v>
      </c>
      <c r="T132" s="49" t="str">
        <f t="shared" si="4"/>
        <v>COPPER</v>
      </c>
      <c r="U132" s="50">
        <f t="shared" si="5"/>
        <v>-82.48404755</v>
      </c>
      <c r="V132" s="80"/>
      <c r="W132" s="52" t="str">
        <f t="shared" si="6"/>
        <v/>
      </c>
      <c r="X132" s="52"/>
      <c r="Y132" s="80">
        <v>2.0</v>
      </c>
      <c r="Z132" s="39">
        <v>0.015810185185185184</v>
      </c>
      <c r="AA132" s="53">
        <v>0.45</v>
      </c>
      <c r="AB132" s="82" t="s">
        <v>813</v>
      </c>
      <c r="AC132" s="54" t="s">
        <v>814</v>
      </c>
      <c r="AD132" s="50"/>
      <c r="AE132" s="83"/>
      <c r="AF132" s="40" t="s">
        <v>806</v>
      </c>
      <c r="AG132" s="40" t="s">
        <v>815</v>
      </c>
      <c r="AH132" s="87">
        <v>9.0</v>
      </c>
      <c r="AI132" s="39"/>
    </row>
    <row r="133" hidden="1" outlineLevel="1">
      <c r="A133" s="58" t="s">
        <v>816</v>
      </c>
      <c r="B133" s="59">
        <v>7.0</v>
      </c>
      <c r="C133" s="60">
        <v>0.07883101851851852</v>
      </c>
      <c r="D133" s="61">
        <f t="array" ref="D133">IFERROR(INDIRECT("'renta'!G$"&amp;MATCH(T133,renta!$A:$A,0))*0.975-(G133*INDIRECT("'renta'!G$"&amp;MATCH(F133,renta!$A:$A,0)))/B133-IFERROR((J133*INDIRECT("'renta'!G$"&amp;MATCH(I133,renta!$A:$A,0)))/B133,0),)</f>
        <v>-0.7636748989</v>
      </c>
      <c r="E133" s="41">
        <f t="shared" si="1"/>
        <v>-5.651037279</v>
      </c>
      <c r="F133" s="61" t="s">
        <v>24</v>
      </c>
      <c r="G133" s="62">
        <f t="shared" si="2"/>
        <v>199.5</v>
      </c>
      <c r="H133" s="63" t="s">
        <v>620</v>
      </c>
      <c r="I133" s="64"/>
      <c r="J133" s="64"/>
      <c r="K133" s="64"/>
      <c r="L133" s="59" t="s">
        <v>137</v>
      </c>
      <c r="M133" s="65">
        <v>1.56</v>
      </c>
      <c r="N133" s="65">
        <v>2.0</v>
      </c>
      <c r="O133" s="66" t="s">
        <v>27</v>
      </c>
      <c r="P133" s="65">
        <v>5.0</v>
      </c>
      <c r="Q133" s="65"/>
      <c r="R133" s="67">
        <f t="array" ref="R133">INDIRECT("'renta'!G$"&amp;MATCH(O133,renta!$A:$A,0))*P133</f>
        <v>41.65</v>
      </c>
      <c r="S133" s="68">
        <f t="shared" si="9"/>
        <v>66.6441</v>
      </c>
      <c r="T133" s="69" t="str">
        <f t="shared" si="4"/>
        <v>COPPER</v>
      </c>
      <c r="U133" s="70">
        <f t="shared" si="5"/>
        <v>-29.34342019</v>
      </c>
      <c r="V133" s="71"/>
      <c r="W133" s="72" t="str">
        <f t="shared" si="6"/>
        <v/>
      </c>
      <c r="X133" s="72"/>
      <c r="Y133" s="71">
        <v>3.0</v>
      </c>
      <c r="Z133" s="60">
        <v>0.021354166666666667</v>
      </c>
      <c r="AA133" s="85" t="s">
        <v>817</v>
      </c>
      <c r="AB133" s="74" t="s">
        <v>818</v>
      </c>
      <c r="AC133" s="75" t="s">
        <v>819</v>
      </c>
      <c r="AD133" s="70"/>
      <c r="AE133" s="76"/>
      <c r="AF133" s="61" t="s">
        <v>806</v>
      </c>
      <c r="AG133" s="61" t="s">
        <v>820</v>
      </c>
      <c r="AH133" s="86">
        <v>9.0</v>
      </c>
      <c r="AI133" s="60"/>
    </row>
    <row r="134" hidden="1" outlineLevel="1">
      <c r="A134" s="78" t="s">
        <v>821</v>
      </c>
      <c r="B134" s="38">
        <v>12.0</v>
      </c>
      <c r="C134" s="39">
        <v>0.1123611111111111</v>
      </c>
      <c r="D134" s="40">
        <f t="array" ref="D134">IFERROR(INDIRECT("'renta'!G$"&amp;MATCH(T134,renta!$A:$A,0))*0.975-(G134*INDIRECT("'renta'!G$"&amp;MATCH(F134,renta!$A:$A,0)))/B134-IFERROR((J134*INDIRECT("'renta'!G$"&amp;MATCH(I134,renta!$A:$A,0)))/B134,0),)</f>
        <v>-0.7636748989</v>
      </c>
      <c r="E134" s="41">
        <f t="shared" si="1"/>
        <v>-6.796612203</v>
      </c>
      <c r="F134" s="40" t="s">
        <v>24</v>
      </c>
      <c r="G134" s="43">
        <f t="shared" si="2"/>
        <v>342</v>
      </c>
      <c r="H134" s="44" t="s">
        <v>822</v>
      </c>
      <c r="I134" s="79"/>
      <c r="J134" s="79"/>
      <c r="K134" s="79"/>
      <c r="L134" s="38" t="s">
        <v>137</v>
      </c>
      <c r="M134" s="46">
        <v>2.59</v>
      </c>
      <c r="N134" s="46">
        <v>2.0</v>
      </c>
      <c r="O134" s="42" t="s">
        <v>27</v>
      </c>
      <c r="P134" s="46">
        <v>12.0</v>
      </c>
      <c r="Q134" s="46"/>
      <c r="R134" s="47">
        <f t="array" ref="R134">INDIRECT("'renta'!G$"&amp;MATCH(O134,renta!$A:$A,0))*P134</f>
        <v>99.96</v>
      </c>
      <c r="S134" s="48">
        <f t="shared" si="9"/>
        <v>166.6041</v>
      </c>
      <c r="T134" s="49" t="str">
        <f t="shared" si="4"/>
        <v>COPPER</v>
      </c>
      <c r="U134" s="50">
        <f t="shared" si="5"/>
        <v>-11.46033338</v>
      </c>
      <c r="V134" s="80"/>
      <c r="W134" s="52" t="str">
        <f t="shared" si="6"/>
        <v/>
      </c>
      <c r="X134" s="52"/>
      <c r="Y134" s="80">
        <v>5.0</v>
      </c>
      <c r="Z134" s="39">
        <v>0.03353009259259259</v>
      </c>
      <c r="AA134" s="81" t="s">
        <v>823</v>
      </c>
      <c r="AB134" s="82" t="s">
        <v>824</v>
      </c>
      <c r="AC134" s="54" t="s">
        <v>825</v>
      </c>
      <c r="AD134" s="50"/>
      <c r="AE134" s="83"/>
      <c r="AF134" s="40" t="s">
        <v>806</v>
      </c>
      <c r="AG134" s="40" t="s">
        <v>826</v>
      </c>
      <c r="AH134" s="87">
        <v>9.0</v>
      </c>
      <c r="AI134" s="39"/>
    </row>
    <row r="135" hidden="1" outlineLevel="1">
      <c r="A135" s="58" t="s">
        <v>28</v>
      </c>
      <c r="B135" s="59">
        <v>18.0</v>
      </c>
      <c r="C135" s="60">
        <v>0.14563657407407407</v>
      </c>
      <c r="D135" s="61">
        <f t="array" ref="D135">IFERROR(INDIRECT("'renta'!G$"&amp;MATCH(T135,renta!$A:$A,0))*0.975-(G135*INDIRECT("'renta'!G$"&amp;MATCH(F135,renta!$A:$A,0)))/B135-IFERROR((J135*INDIRECT("'renta'!G$"&amp;MATCH(I135,renta!$A:$A,0)))/B135,0),)</f>
        <v>-0.7636748989</v>
      </c>
      <c r="E135" s="41">
        <f t="shared" si="1"/>
        <v>-7.865554073</v>
      </c>
      <c r="F135" s="61" t="s">
        <v>24</v>
      </c>
      <c r="G135" s="62">
        <f t="shared" si="2"/>
        <v>513</v>
      </c>
      <c r="H135" s="63" t="s">
        <v>827</v>
      </c>
      <c r="I135" s="64"/>
      <c r="J135" s="64"/>
      <c r="K135" s="64"/>
      <c r="L135" s="59" t="s">
        <v>137</v>
      </c>
      <c r="M135" s="65">
        <v>3.772</v>
      </c>
      <c r="N135" s="65">
        <v>2.0</v>
      </c>
      <c r="O135" s="66" t="s">
        <v>27</v>
      </c>
      <c r="P135" s="65">
        <v>20.0</v>
      </c>
      <c r="Q135" s="65"/>
      <c r="R135" s="67">
        <f t="array" ref="R135">INDIRECT("'renta'!G$"&amp;MATCH(O135,renta!$A:$A,0))*P135</f>
        <v>166.6</v>
      </c>
      <c r="S135" s="68">
        <f t="shared" si="9"/>
        <v>333.2041</v>
      </c>
      <c r="T135" s="69" t="str">
        <f t="shared" si="4"/>
        <v>COPPER</v>
      </c>
      <c r="U135" s="70">
        <f t="shared" si="5"/>
        <v>-6.416217707</v>
      </c>
      <c r="V135" s="71">
        <v>3.78</v>
      </c>
      <c r="W135" s="72">
        <f t="shared" si="6"/>
        <v>-3.636547138</v>
      </c>
      <c r="X135" s="72"/>
      <c r="Y135" s="71">
        <v>6.0</v>
      </c>
      <c r="Z135" s="60">
        <v>0.033275462962962965</v>
      </c>
      <c r="AA135" s="85" t="s">
        <v>828</v>
      </c>
      <c r="AB135" s="74" t="s">
        <v>829</v>
      </c>
      <c r="AC135" s="75" t="s">
        <v>830</v>
      </c>
      <c r="AD135" s="70"/>
      <c r="AE135" s="76"/>
      <c r="AF135" s="61" t="s">
        <v>806</v>
      </c>
      <c r="AG135" s="61" t="s">
        <v>831</v>
      </c>
      <c r="AH135" s="86">
        <v>10.0</v>
      </c>
      <c r="AI135" s="60"/>
    </row>
    <row r="136" hidden="1" outlineLevel="1">
      <c r="A136" s="78" t="s">
        <v>832</v>
      </c>
      <c r="B136" s="38">
        <v>25.0</v>
      </c>
      <c r="C136" s="39">
        <v>0.17866898148148147</v>
      </c>
      <c r="D136" s="40">
        <f t="array" ref="D136">IFERROR(INDIRECT("'renta'!G$"&amp;MATCH(T136,renta!$A:$A,0))*0.975-(G136*INDIRECT("'renta'!G$"&amp;MATCH(F136,renta!$A:$A,0)))/B136-IFERROR((J136*INDIRECT("'renta'!G$"&amp;MATCH(I136,renta!$A:$A,0)))/B136,0),)</f>
        <v>-0.7636748989</v>
      </c>
      <c r="E136" s="41">
        <f t="shared" si="1"/>
        <v>-8.904675896</v>
      </c>
      <c r="F136" s="40" t="s">
        <v>24</v>
      </c>
      <c r="G136" s="43">
        <f t="shared" si="2"/>
        <v>712.5</v>
      </c>
      <c r="H136" s="44" t="s">
        <v>833</v>
      </c>
      <c r="I136" s="79"/>
      <c r="J136" s="79"/>
      <c r="K136" s="79"/>
      <c r="L136" s="38" t="s">
        <v>137</v>
      </c>
      <c r="M136" s="46">
        <v>5.097</v>
      </c>
      <c r="N136" s="46">
        <v>2.0</v>
      </c>
      <c r="O136" s="42" t="s">
        <v>27</v>
      </c>
      <c r="P136" s="46">
        <v>29.0</v>
      </c>
      <c r="Q136" s="46"/>
      <c r="R136" s="47">
        <f t="array" ref="R136">INDIRECT("'renta'!G$"&amp;MATCH(O136,renta!$A:$A,0))*P136</f>
        <v>241.57</v>
      </c>
      <c r="S136" s="48">
        <f t="shared" si="9"/>
        <v>574.7741</v>
      </c>
      <c r="T136" s="49" t="str">
        <f t="shared" si="4"/>
        <v>COPPER</v>
      </c>
      <c r="U136" s="50">
        <f t="shared" si="5"/>
        <v>-4.301535054</v>
      </c>
      <c r="V136" s="80"/>
      <c r="W136" s="52" t="str">
        <f t="shared" si="6"/>
        <v/>
      </c>
      <c r="X136" s="52"/>
      <c r="Y136" s="80">
        <v>7.0</v>
      </c>
      <c r="Z136" s="39">
        <v>0.03304398148148148</v>
      </c>
      <c r="AA136" s="81" t="s">
        <v>834</v>
      </c>
      <c r="AB136" s="82" t="s">
        <v>835</v>
      </c>
      <c r="AC136" s="54" t="s">
        <v>836</v>
      </c>
      <c r="AD136" s="50"/>
      <c r="AE136" s="83"/>
      <c r="AF136" s="40" t="s">
        <v>806</v>
      </c>
      <c r="AG136" s="40" t="s">
        <v>837</v>
      </c>
      <c r="AH136" s="87">
        <v>10.0</v>
      </c>
      <c r="AI136" s="39"/>
    </row>
    <row r="137" hidden="1" outlineLevel="1">
      <c r="A137" s="58" t="s">
        <v>838</v>
      </c>
      <c r="B137" s="59">
        <v>32.0</v>
      </c>
      <c r="C137" s="60">
        <v>0.20576388888888889</v>
      </c>
      <c r="D137" s="61">
        <f t="array" ref="D137">IFERROR(INDIRECT("'renta'!G$"&amp;MATCH(T137,renta!$A:$A,0))*0.975-(G137*INDIRECT("'renta'!G$"&amp;MATCH(F137,renta!$A:$A,0)))/B137-IFERROR((J137*INDIRECT("'renta'!G$"&amp;MATCH(I137,renta!$A:$A,0)))/B137,0),)</f>
        <v>-0.7636748989</v>
      </c>
      <c r="E137" s="41">
        <f t="shared" si="1"/>
        <v>-9.897102977</v>
      </c>
      <c r="F137" s="61" t="s">
        <v>24</v>
      </c>
      <c r="G137" s="62">
        <f t="shared" si="2"/>
        <v>912</v>
      </c>
      <c r="H137" s="63" t="s">
        <v>839</v>
      </c>
      <c r="I137" s="64"/>
      <c r="J137" s="64"/>
      <c r="K137" s="64"/>
      <c r="L137" s="59" t="s">
        <v>137</v>
      </c>
      <c r="M137" s="65">
        <v>6.357</v>
      </c>
      <c r="N137" s="65">
        <v>2.0</v>
      </c>
      <c r="O137" s="66" t="s">
        <v>27</v>
      </c>
      <c r="P137" s="65">
        <v>40.0</v>
      </c>
      <c r="Q137" s="65"/>
      <c r="R137" s="67">
        <f t="array" ref="R137">INDIRECT("'renta'!G$"&amp;MATCH(O137,renta!$A:$A,0))*P137</f>
        <v>333.2</v>
      </c>
      <c r="S137" s="68">
        <f t="shared" si="9"/>
        <v>907.9741</v>
      </c>
      <c r="T137" s="69" t="str">
        <f t="shared" si="4"/>
        <v>COPPER</v>
      </c>
      <c r="U137" s="70">
        <f t="shared" si="5"/>
        <v>-2.97847263</v>
      </c>
      <c r="V137" s="71"/>
      <c r="W137" s="72" t="str">
        <f t="shared" si="6"/>
        <v/>
      </c>
      <c r="X137" s="72"/>
      <c r="Y137" s="71">
        <v>7.0</v>
      </c>
      <c r="Z137" s="60">
        <v>0.027083333333333334</v>
      </c>
      <c r="AA137" s="85" t="s">
        <v>840</v>
      </c>
      <c r="AB137" s="74" t="s">
        <v>841</v>
      </c>
      <c r="AC137" s="75" t="s">
        <v>842</v>
      </c>
      <c r="AD137" s="70"/>
      <c r="AE137" s="76"/>
      <c r="AF137" s="61" t="s">
        <v>843</v>
      </c>
      <c r="AG137" s="61" t="s">
        <v>844</v>
      </c>
      <c r="AH137" s="86">
        <v>10.0</v>
      </c>
      <c r="AI137" s="60"/>
    </row>
    <row r="138" hidden="1" outlineLevel="1">
      <c r="A138" s="78" t="s">
        <v>845</v>
      </c>
      <c r="B138" s="38">
        <v>39.0</v>
      </c>
      <c r="C138" s="39">
        <v>0.22855324074074074</v>
      </c>
      <c r="D138" s="40">
        <f t="array" ref="D138">IFERROR(INDIRECT("'renta'!G$"&amp;MATCH(T138,renta!$A:$A,0))*0.975-(G138*INDIRECT("'renta'!G$"&amp;MATCH(F138,renta!$A:$A,0)))/B138-IFERROR((J138*INDIRECT("'renta'!G$"&amp;MATCH(I138,renta!$A:$A,0)))/B138,0),)</f>
        <v>-0.7636748989</v>
      </c>
      <c r="E138" s="41">
        <f t="shared" si="1"/>
        <v>-10.85936657</v>
      </c>
      <c r="F138" s="40" t="s">
        <v>24</v>
      </c>
      <c r="G138" s="43">
        <f t="shared" si="2"/>
        <v>1111.5</v>
      </c>
      <c r="H138" s="44" t="s">
        <v>846</v>
      </c>
      <c r="I138" s="79"/>
      <c r="J138" s="79"/>
      <c r="K138" s="79"/>
      <c r="L138" s="38" t="s">
        <v>137</v>
      </c>
      <c r="M138" s="46">
        <v>7.559</v>
      </c>
      <c r="N138" s="46">
        <v>2.0</v>
      </c>
      <c r="O138" s="42" t="s">
        <v>27</v>
      </c>
      <c r="P138" s="46">
        <v>52.0</v>
      </c>
      <c r="Q138" s="46"/>
      <c r="R138" s="47">
        <f t="array" ref="R138">INDIRECT("'renta'!G$"&amp;MATCH(O138,renta!$A:$A,0))*P138</f>
        <v>433.16</v>
      </c>
      <c r="S138" s="48">
        <f t="shared" si="9"/>
        <v>1341.1341</v>
      </c>
      <c r="T138" s="49" t="str">
        <f t="shared" si="4"/>
        <v>COPPER</v>
      </c>
      <c r="U138" s="50">
        <f t="shared" si="5"/>
        <v>-2.221496887</v>
      </c>
      <c r="V138" s="80"/>
      <c r="W138" s="52" t="str">
        <f t="shared" si="6"/>
        <v/>
      </c>
      <c r="X138" s="52"/>
      <c r="Y138" s="80">
        <v>7.0</v>
      </c>
      <c r="Z138" s="39">
        <v>0.022789351851851852</v>
      </c>
      <c r="AA138" s="81" t="s">
        <v>191</v>
      </c>
      <c r="AB138" s="82" t="s">
        <v>847</v>
      </c>
      <c r="AC138" s="54" t="s">
        <v>848</v>
      </c>
      <c r="AD138" s="50"/>
      <c r="AE138" s="83"/>
      <c r="AF138" s="40" t="s">
        <v>843</v>
      </c>
      <c r="AG138" s="40" t="s">
        <v>849</v>
      </c>
      <c r="AH138" s="87">
        <v>10.0</v>
      </c>
      <c r="AI138" s="39"/>
    </row>
    <row r="139" hidden="1" outlineLevel="1">
      <c r="A139" s="58" t="s">
        <v>850</v>
      </c>
      <c r="B139" s="59">
        <v>45.0</v>
      </c>
      <c r="C139" s="60">
        <v>0.24319444444444444</v>
      </c>
      <c r="D139" s="61">
        <f t="array" ref="D139">IFERROR(INDIRECT("'renta'!G$"&amp;MATCH(T139,renta!$A:$A,0))*0.975-(G139*INDIRECT("'renta'!G$"&amp;MATCH(F139,renta!$A:$A,0)))/B139-IFERROR((J139*INDIRECT("'renta'!G$"&amp;MATCH(I139,renta!$A:$A,0)))/B139,0),)</f>
        <v>-0.7636748989</v>
      </c>
      <c r="E139" s="41">
        <f t="shared" si="1"/>
        <v>-11.77568376</v>
      </c>
      <c r="F139" s="61" t="s">
        <v>24</v>
      </c>
      <c r="G139" s="62">
        <f t="shared" si="2"/>
        <v>1282.5</v>
      </c>
      <c r="H139" s="63" t="s">
        <v>851</v>
      </c>
      <c r="I139" s="64"/>
      <c r="J139" s="64"/>
      <c r="K139" s="64"/>
      <c r="L139" s="59" t="s">
        <v>137</v>
      </c>
      <c r="M139" s="65">
        <v>8.521</v>
      </c>
      <c r="N139" s="65">
        <v>2.0</v>
      </c>
      <c r="O139" s="66" t="s">
        <v>27</v>
      </c>
      <c r="P139" s="65">
        <v>66.0</v>
      </c>
      <c r="Q139" s="65"/>
      <c r="R139" s="67">
        <f t="array" ref="R139">INDIRECT("'renta'!G$"&amp;MATCH(O139,renta!$A:$A,0))*P139</f>
        <v>549.78</v>
      </c>
      <c r="S139" s="68">
        <f t="shared" si="9"/>
        <v>1890.9141</v>
      </c>
      <c r="T139" s="69" t="str">
        <f t="shared" si="4"/>
        <v>COPPER</v>
      </c>
      <c r="U139" s="70">
        <f t="shared" si="5"/>
        <v>-1.666697945</v>
      </c>
      <c r="V139" s="71"/>
      <c r="W139" s="72" t="str">
        <f t="shared" si="6"/>
        <v/>
      </c>
      <c r="X139" s="72"/>
      <c r="Y139" s="71">
        <v>6.0</v>
      </c>
      <c r="Z139" s="60">
        <v>0.014641203703703703</v>
      </c>
      <c r="AA139" s="85" t="s">
        <v>852</v>
      </c>
      <c r="AB139" s="74" t="s">
        <v>853</v>
      </c>
      <c r="AC139" s="75" t="s">
        <v>854</v>
      </c>
      <c r="AD139" s="70"/>
      <c r="AE139" s="76"/>
      <c r="AF139" s="61" t="s">
        <v>843</v>
      </c>
      <c r="AG139" s="61" t="s">
        <v>267</v>
      </c>
      <c r="AH139" s="86">
        <v>11.0</v>
      </c>
      <c r="AI139" s="60"/>
    </row>
    <row r="140" hidden="1" outlineLevel="1">
      <c r="A140" s="78" t="s">
        <v>855</v>
      </c>
      <c r="B140" s="38">
        <v>50.0</v>
      </c>
      <c r="C140" s="39">
        <v>0.2513078703703704</v>
      </c>
      <c r="D140" s="40">
        <f t="array" ref="D140">IFERROR(INDIRECT("'renta'!G$"&amp;MATCH(T140,renta!$A:$A,0))*0.975-(G140*INDIRECT("'renta'!G$"&amp;MATCH(F140,renta!$A:$A,0)))/B140-IFERROR((J140*INDIRECT("'renta'!G$"&amp;MATCH(I140,renta!$A:$A,0)))/B140,0),)</f>
        <v>-0.7636748989</v>
      </c>
      <c r="E140" s="41">
        <f t="shared" si="1"/>
        <v>-12.66167566</v>
      </c>
      <c r="F140" s="40" t="s">
        <v>24</v>
      </c>
      <c r="G140" s="43">
        <f t="shared" si="2"/>
        <v>1425</v>
      </c>
      <c r="H140" s="44" t="s">
        <v>856</v>
      </c>
      <c r="I140" s="79"/>
      <c r="J140" s="79"/>
      <c r="K140" s="79"/>
      <c r="L140" s="38" t="s">
        <v>137</v>
      </c>
      <c r="M140" s="46">
        <v>9.258</v>
      </c>
      <c r="N140" s="46">
        <v>2.0</v>
      </c>
      <c r="O140" s="42" t="s">
        <v>27</v>
      </c>
      <c r="P140" s="46">
        <v>83.0</v>
      </c>
      <c r="Q140" s="46"/>
      <c r="R140" s="47">
        <f t="array" ref="R140">INDIRECT("'renta'!G$"&amp;MATCH(O140,renta!$A:$A,0))*P140</f>
        <v>691.39</v>
      </c>
      <c r="S140" s="48">
        <f t="shared" si="9"/>
        <v>2582.3041</v>
      </c>
      <c r="T140" s="49" t="str">
        <f t="shared" si="4"/>
        <v>COPPER</v>
      </c>
      <c r="U140" s="50">
        <f t="shared" si="5"/>
        <v>-1.281464725</v>
      </c>
      <c r="V140" s="80"/>
      <c r="W140" s="52" t="str">
        <f t="shared" si="6"/>
        <v/>
      </c>
      <c r="X140" s="52"/>
      <c r="Y140" s="80">
        <v>5.0</v>
      </c>
      <c r="Z140" s="39">
        <v>0.008113425925925927</v>
      </c>
      <c r="AA140" s="81" t="s">
        <v>857</v>
      </c>
      <c r="AB140" s="82" t="s">
        <v>858</v>
      </c>
      <c r="AC140" s="54" t="s">
        <v>859</v>
      </c>
      <c r="AD140" s="50"/>
      <c r="AE140" s="83"/>
      <c r="AF140" s="40" t="s">
        <v>843</v>
      </c>
      <c r="AG140" s="40" t="s">
        <v>860</v>
      </c>
      <c r="AH140" s="87">
        <v>11.0</v>
      </c>
      <c r="AI140" s="39"/>
    </row>
    <row r="141" hidden="1" outlineLevel="1">
      <c r="A141" s="58" t="s">
        <v>861</v>
      </c>
      <c r="B141" s="59">
        <v>55.0</v>
      </c>
      <c r="C141" s="60">
        <v>0.2592361111111111</v>
      </c>
      <c r="D141" s="61">
        <f t="array" ref="D141">IFERROR(INDIRECT("'renta'!G$"&amp;MATCH(T141,renta!$A:$A,0))*0.975-(G141*INDIRECT("'renta'!G$"&amp;MATCH(F141,renta!$A:$A,0)))/B141-IFERROR((J141*INDIRECT("'renta'!G$"&amp;MATCH(I141,renta!$A:$A,0)))/B141,0),)</f>
        <v>-0.7636748989</v>
      </c>
      <c r="E141" s="41">
        <f t="shared" si="1"/>
        <v>-13.50188677</v>
      </c>
      <c r="F141" s="61" t="s">
        <v>24</v>
      </c>
      <c r="G141" s="62">
        <f t="shared" si="2"/>
        <v>1567.5</v>
      </c>
      <c r="H141" s="63" t="s">
        <v>862</v>
      </c>
      <c r="I141" s="64"/>
      <c r="J141" s="64"/>
      <c r="K141" s="64"/>
      <c r="L141" s="59" t="s">
        <v>137</v>
      </c>
      <c r="M141" s="65">
        <v>9.969</v>
      </c>
      <c r="N141" s="65">
        <v>2.0</v>
      </c>
      <c r="O141" s="66" t="s">
        <v>27</v>
      </c>
      <c r="P141" s="65">
        <v>102.0</v>
      </c>
      <c r="Q141" s="65"/>
      <c r="R141" s="67">
        <f t="array" ref="R141">INDIRECT("'renta'!G$"&amp;MATCH(O141,renta!$A:$A,0))*P141</f>
        <v>849.66</v>
      </c>
      <c r="S141" s="68">
        <f t="shared" si="9"/>
        <v>3431.9641</v>
      </c>
      <c r="T141" s="69" t="str">
        <f t="shared" si="4"/>
        <v>COPPER</v>
      </c>
      <c r="U141" s="70">
        <f t="shared" si="5"/>
        <v>-0.9888792154</v>
      </c>
      <c r="V141" s="71"/>
      <c r="W141" s="72" t="str">
        <f t="shared" si="6"/>
        <v/>
      </c>
      <c r="X141" s="72"/>
      <c r="Y141" s="71">
        <v>5.0</v>
      </c>
      <c r="Z141" s="60">
        <v>0.007928240740740741</v>
      </c>
      <c r="AA141" s="85" t="s">
        <v>863</v>
      </c>
      <c r="AB141" s="74" t="s">
        <v>864</v>
      </c>
      <c r="AC141" s="75" t="s">
        <v>865</v>
      </c>
      <c r="AD141" s="70"/>
      <c r="AE141" s="76"/>
      <c r="AF141" s="61" t="s">
        <v>843</v>
      </c>
      <c r="AG141" s="61" t="s">
        <v>866</v>
      </c>
      <c r="AH141" s="86">
        <v>11.0</v>
      </c>
      <c r="AI141" s="60"/>
    </row>
    <row r="142" hidden="1" outlineLevel="1">
      <c r="A142" s="78" t="s">
        <v>867</v>
      </c>
      <c r="B142" s="38">
        <v>60.0</v>
      </c>
      <c r="C142" s="39">
        <v>0.2668055555555556</v>
      </c>
      <c r="D142" s="40">
        <f t="array" ref="D142">IFERROR(INDIRECT("'renta'!G$"&amp;MATCH(T142,renta!$A:$A,0))*0.975-(G142*INDIRECT("'renta'!G$"&amp;MATCH(F142,renta!$A:$A,0)))/B142-IFERROR((J142*INDIRECT("'renta'!G$"&amp;MATCH(I142,renta!$A:$A,0)))/B142,0),)</f>
        <v>-0.7636748989</v>
      </c>
      <c r="E142" s="41">
        <f t="shared" si="1"/>
        <v>-14.31145047</v>
      </c>
      <c r="F142" s="40" t="s">
        <v>24</v>
      </c>
      <c r="G142" s="43">
        <f t="shared" si="2"/>
        <v>1710</v>
      </c>
      <c r="H142" s="44" t="s">
        <v>868</v>
      </c>
      <c r="I142" s="79"/>
      <c r="J142" s="79"/>
      <c r="K142" s="79"/>
      <c r="L142" s="38" t="s">
        <v>137</v>
      </c>
      <c r="M142" s="46">
        <v>10.654</v>
      </c>
      <c r="N142" s="46">
        <v>2.0</v>
      </c>
      <c r="O142" s="42" t="s">
        <v>30</v>
      </c>
      <c r="P142" s="46">
        <v>25.0</v>
      </c>
      <c r="Q142" s="46"/>
      <c r="R142" s="47">
        <f t="array" ref="R142">INDIRECT("'renta'!G$"&amp;MATCH(O142,renta!$A:$A,0))*P142</f>
        <v>925</v>
      </c>
      <c r="S142" s="48">
        <f t="shared" si="9"/>
        <v>4356.9641</v>
      </c>
      <c r="T142" s="49" t="str">
        <f t="shared" si="4"/>
        <v>COPPER</v>
      </c>
      <c r="U142" s="50">
        <f t="shared" si="5"/>
        <v>-0.875204</v>
      </c>
      <c r="V142" s="80"/>
      <c r="W142" s="52" t="str">
        <f t="shared" si="6"/>
        <v/>
      </c>
      <c r="X142" s="52"/>
      <c r="Y142" s="80">
        <v>5.0</v>
      </c>
      <c r="Z142" s="39">
        <v>0.007569444444444445</v>
      </c>
      <c r="AA142" s="53">
        <v>0.06</v>
      </c>
      <c r="AB142" s="82" t="s">
        <v>869</v>
      </c>
      <c r="AC142" s="54" t="s">
        <v>870</v>
      </c>
      <c r="AD142" s="50"/>
      <c r="AE142" s="83"/>
      <c r="AF142" s="40" t="s">
        <v>843</v>
      </c>
      <c r="AG142" s="40" t="s">
        <v>871</v>
      </c>
      <c r="AH142" s="87">
        <v>11.0</v>
      </c>
      <c r="AI142" s="39"/>
    </row>
    <row r="143" hidden="1" outlineLevel="1">
      <c r="A143" s="58" t="s">
        <v>872</v>
      </c>
      <c r="B143" s="59">
        <v>65.0</v>
      </c>
      <c r="C143" s="60">
        <v>0.27439814814814817</v>
      </c>
      <c r="D143" s="61">
        <f t="array" ref="D143">IFERROR(INDIRECT("'renta'!G$"&amp;MATCH(T143,renta!$A:$A,0))*0.975-(G143*INDIRECT("'renta'!G$"&amp;MATCH(F143,renta!$A:$A,0)))/B143-IFERROR((J143*INDIRECT("'renta'!G$"&amp;MATCH(I143,renta!$A:$A,0)))/B143,0),)</f>
        <v>-0.7636748989</v>
      </c>
      <c r="E143" s="41">
        <f t="shared" si="1"/>
        <v>-15.07507393</v>
      </c>
      <c r="F143" s="61" t="s">
        <v>24</v>
      </c>
      <c r="G143" s="62">
        <f t="shared" si="2"/>
        <v>1852.5</v>
      </c>
      <c r="H143" s="63" t="s">
        <v>873</v>
      </c>
      <c r="I143" s="64"/>
      <c r="J143" s="64"/>
      <c r="K143" s="64"/>
      <c r="L143" s="59" t="s">
        <v>137</v>
      </c>
      <c r="M143" s="65">
        <v>11.315</v>
      </c>
      <c r="N143" s="65">
        <v>2.0</v>
      </c>
      <c r="O143" s="66" t="s">
        <v>30</v>
      </c>
      <c r="P143" s="65">
        <v>30.0</v>
      </c>
      <c r="Q143" s="65"/>
      <c r="R143" s="67">
        <f t="array" ref="R143">INDIRECT("'renta'!G$"&amp;MATCH(O143,renta!$A:$A,0))*P143</f>
        <v>1110</v>
      </c>
      <c r="S143" s="68">
        <f t="shared" si="9"/>
        <v>5466.9641</v>
      </c>
      <c r="T143" s="69" t="str">
        <f t="shared" si="4"/>
        <v>COPPER</v>
      </c>
      <c r="U143" s="70">
        <f t="shared" si="5"/>
        <v>-0.6879490578</v>
      </c>
      <c r="V143" s="71"/>
      <c r="W143" s="72" t="str">
        <f t="shared" si="6"/>
        <v/>
      </c>
      <c r="X143" s="72"/>
      <c r="Y143" s="71">
        <v>5.0</v>
      </c>
      <c r="Z143" s="60">
        <v>0.007592592592592593</v>
      </c>
      <c r="AA143" s="85" t="s">
        <v>874</v>
      </c>
      <c r="AB143" s="74" t="s">
        <v>875</v>
      </c>
      <c r="AC143" s="75" t="s">
        <v>876</v>
      </c>
      <c r="AD143" s="70"/>
      <c r="AE143" s="76"/>
      <c r="AF143" s="61" t="s">
        <v>843</v>
      </c>
      <c r="AG143" s="61" t="s">
        <v>877</v>
      </c>
      <c r="AH143" s="86">
        <v>11.0</v>
      </c>
      <c r="AI143" s="60"/>
    </row>
    <row r="144" hidden="1" outlineLevel="1">
      <c r="A144" s="78" t="s">
        <v>878</v>
      </c>
      <c r="B144" s="38">
        <v>70.0</v>
      </c>
      <c r="C144" s="39">
        <v>0.28180555555555553</v>
      </c>
      <c r="D144" s="40">
        <f t="array" ref="D144">IFERROR(INDIRECT("'renta'!G$"&amp;MATCH(T144,renta!$A:$A,0))*0.975-(G144*INDIRECT("'renta'!G$"&amp;MATCH(F144,renta!$A:$A,0)))/B144-IFERROR((J144*INDIRECT("'renta'!G$"&amp;MATCH(I144,renta!$A:$A,0)))/B144,0),)</f>
        <v>-0.7636748989</v>
      </c>
      <c r="E144" s="41">
        <f t="shared" si="1"/>
        <v>-15.80795749</v>
      </c>
      <c r="F144" s="40" t="s">
        <v>24</v>
      </c>
      <c r="G144" s="43">
        <f t="shared" si="2"/>
        <v>1995</v>
      </c>
      <c r="H144" s="44" t="s">
        <v>879</v>
      </c>
      <c r="I144" s="79"/>
      <c r="J144" s="79"/>
      <c r="K144" s="79"/>
      <c r="L144" s="38" t="s">
        <v>137</v>
      </c>
      <c r="M144" s="46">
        <v>11.954</v>
      </c>
      <c r="N144" s="46">
        <v>2.0</v>
      </c>
      <c r="O144" s="42" t="s">
        <v>30</v>
      </c>
      <c r="P144" s="46">
        <v>36.0</v>
      </c>
      <c r="Q144" s="46"/>
      <c r="R144" s="47">
        <f t="array" ref="R144">INDIRECT("'renta'!G$"&amp;MATCH(O144,renta!$A:$A,0))*P144</f>
        <v>1332</v>
      </c>
      <c r="S144" s="48">
        <f t="shared" si="9"/>
        <v>6798.9641</v>
      </c>
      <c r="T144" s="49" t="str">
        <f t="shared" si="4"/>
        <v>COPPER</v>
      </c>
      <c r="U144" s="50">
        <f t="shared" si="5"/>
        <v>-0.5502128869</v>
      </c>
      <c r="V144" s="80"/>
      <c r="W144" s="52" t="str">
        <f t="shared" si="6"/>
        <v/>
      </c>
      <c r="X144" s="52"/>
      <c r="Y144" s="80">
        <v>5.0</v>
      </c>
      <c r="Z144" s="39">
        <v>0.007407407407407408</v>
      </c>
      <c r="AA144" s="81" t="s">
        <v>880</v>
      </c>
      <c r="AB144" s="82" t="s">
        <v>881</v>
      </c>
      <c r="AC144" s="54" t="s">
        <v>882</v>
      </c>
      <c r="AD144" s="50"/>
      <c r="AE144" s="83"/>
      <c r="AF144" s="40" t="s">
        <v>843</v>
      </c>
      <c r="AG144" s="40" t="s">
        <v>883</v>
      </c>
      <c r="AH144" s="87">
        <v>12.0</v>
      </c>
      <c r="AI144" s="39"/>
    </row>
    <row r="145" hidden="1" outlineLevel="1">
      <c r="A145" s="58" t="s">
        <v>884</v>
      </c>
      <c r="B145" s="59">
        <v>75.0</v>
      </c>
      <c r="C145" s="60">
        <v>0.28908564814814813</v>
      </c>
      <c r="D145" s="61">
        <f t="array" ref="D145">IFERROR(INDIRECT("'renta'!G$"&amp;MATCH(T145,renta!$A:$A,0))*0.975-(G145*INDIRECT("'renta'!G$"&amp;MATCH(F145,renta!$A:$A,0)))/B145-IFERROR((J145*INDIRECT("'renta'!G$"&amp;MATCH(I145,renta!$A:$A,0)))/B145,0),)</f>
        <v>-0.7636748989</v>
      </c>
      <c r="E145" s="41">
        <f t="shared" si="1"/>
        <v>-16.51056754</v>
      </c>
      <c r="F145" s="61" t="s">
        <v>24</v>
      </c>
      <c r="G145" s="62">
        <f t="shared" si="2"/>
        <v>2137.5</v>
      </c>
      <c r="H145" s="63" t="s">
        <v>885</v>
      </c>
      <c r="I145" s="64"/>
      <c r="J145" s="64"/>
      <c r="K145" s="64"/>
      <c r="L145" s="59" t="s">
        <v>137</v>
      </c>
      <c r="M145" s="65">
        <v>12.573</v>
      </c>
      <c r="N145" s="65">
        <v>2.0</v>
      </c>
      <c r="O145" s="66" t="s">
        <v>30</v>
      </c>
      <c r="P145" s="65">
        <v>42.0</v>
      </c>
      <c r="Q145" s="65"/>
      <c r="R145" s="67">
        <f t="array" ref="R145">INDIRECT("'renta'!G$"&amp;MATCH(O145,renta!$A:$A,0))*P145</f>
        <v>1554</v>
      </c>
      <c r="S145" s="68">
        <f t="shared" si="9"/>
        <v>8352.9641</v>
      </c>
      <c r="T145" s="69" t="str">
        <f t="shared" si="4"/>
        <v>COPPER</v>
      </c>
      <c r="U145" s="70">
        <f t="shared" si="5"/>
        <v>-0.4521300162</v>
      </c>
      <c r="V145" s="71"/>
      <c r="W145" s="72" t="str">
        <f t="shared" si="6"/>
        <v/>
      </c>
      <c r="X145" s="72"/>
      <c r="Y145" s="71">
        <v>5.0</v>
      </c>
      <c r="Z145" s="60">
        <v>0.007280092592592592</v>
      </c>
      <c r="AA145" s="85" t="s">
        <v>886</v>
      </c>
      <c r="AB145" s="74" t="s">
        <v>887</v>
      </c>
      <c r="AC145" s="75" t="s">
        <v>888</v>
      </c>
      <c r="AD145" s="70"/>
      <c r="AE145" s="76"/>
      <c r="AF145" s="61" t="s">
        <v>843</v>
      </c>
      <c r="AG145" s="61" t="s">
        <v>889</v>
      </c>
      <c r="AH145" s="86">
        <v>12.0</v>
      </c>
      <c r="AI145" s="60"/>
    </row>
    <row r="146" hidden="1" outlineLevel="1">
      <c r="A146" s="78" t="s">
        <v>890</v>
      </c>
      <c r="B146" s="38">
        <v>79.0</v>
      </c>
      <c r="C146" s="39">
        <v>0.29259259259259257</v>
      </c>
      <c r="D146" s="40">
        <f t="array" ref="D146">IFERROR(INDIRECT("'renta'!G$"&amp;MATCH(T146,renta!$A:$A,0))*0.975-(G146*INDIRECT("'renta'!G$"&amp;MATCH(F146,renta!$A:$A,0)))/B146-IFERROR((J146*INDIRECT("'renta'!G$"&amp;MATCH(I146,renta!$A:$A,0)))/B146,0),)</f>
        <v>-0.7636748989</v>
      </c>
      <c r="E146" s="41">
        <f t="shared" si="1"/>
        <v>-17.18268523</v>
      </c>
      <c r="F146" s="40" t="s">
        <v>24</v>
      </c>
      <c r="G146" s="43">
        <f t="shared" si="2"/>
        <v>2251.5</v>
      </c>
      <c r="H146" s="44" t="s">
        <v>891</v>
      </c>
      <c r="I146" s="79"/>
      <c r="J146" s="79"/>
      <c r="K146" s="79"/>
      <c r="L146" s="38" t="s">
        <v>137</v>
      </c>
      <c r="M146" s="46">
        <v>13.008</v>
      </c>
      <c r="N146" s="46">
        <v>2.0</v>
      </c>
      <c r="O146" s="42" t="s">
        <v>30</v>
      </c>
      <c r="P146" s="46">
        <v>50.0</v>
      </c>
      <c r="Q146" s="46"/>
      <c r="R146" s="47">
        <f t="array" ref="R146">INDIRECT("'renta'!G$"&amp;MATCH(O146,renta!$A:$A,0))*P146</f>
        <v>1850</v>
      </c>
      <c r="S146" s="48">
        <f t="shared" si="9"/>
        <v>10202.9641</v>
      </c>
      <c r="T146" s="49" t="str">
        <f t="shared" si="4"/>
        <v>COPPER</v>
      </c>
      <c r="U146" s="50">
        <f t="shared" si="5"/>
        <v>-0.3633068578</v>
      </c>
      <c r="V146" s="80"/>
      <c r="W146" s="52" t="str">
        <f t="shared" si="6"/>
        <v/>
      </c>
      <c r="X146" s="52"/>
      <c r="Y146" s="80">
        <v>4.0</v>
      </c>
      <c r="Z146" s="39">
        <v>0.0035069444444444445</v>
      </c>
      <c r="AA146" s="81" t="s">
        <v>892</v>
      </c>
      <c r="AB146" s="82" t="s">
        <v>893</v>
      </c>
      <c r="AC146" s="54" t="s">
        <v>894</v>
      </c>
      <c r="AD146" s="50"/>
      <c r="AE146" s="83"/>
      <c r="AF146" s="40" t="s">
        <v>843</v>
      </c>
      <c r="AG146" s="40" t="s">
        <v>895</v>
      </c>
      <c r="AH146" s="87">
        <v>12.0</v>
      </c>
      <c r="AI146" s="39"/>
    </row>
    <row r="147" hidden="1" outlineLevel="1">
      <c r="A147" s="58" t="s">
        <v>896</v>
      </c>
      <c r="B147" s="59">
        <v>83.0</v>
      </c>
      <c r="C147" s="60">
        <v>0.2963425925925926</v>
      </c>
      <c r="D147" s="61">
        <f t="array" ref="D147">IFERROR(INDIRECT("'renta'!G$"&amp;MATCH(T147,renta!$A:$A,0))*0.975-(G147*INDIRECT("'renta'!G$"&amp;MATCH(F147,renta!$A:$A,0)))/B147-IFERROR((J147*INDIRECT("'renta'!G$"&amp;MATCH(I147,renta!$A:$A,0)))/B147,0),)</f>
        <v>-0.7636748989</v>
      </c>
      <c r="E147" s="41">
        <f t="shared" si="1"/>
        <v>-17.82425088</v>
      </c>
      <c r="F147" s="61" t="s">
        <v>24</v>
      </c>
      <c r="G147" s="62">
        <f t="shared" si="2"/>
        <v>2365.5</v>
      </c>
      <c r="H147" s="63" t="s">
        <v>897</v>
      </c>
      <c r="I147" s="64"/>
      <c r="J147" s="64"/>
      <c r="K147" s="64"/>
      <c r="L147" s="59" t="s">
        <v>137</v>
      </c>
      <c r="M147" s="65">
        <v>13.43</v>
      </c>
      <c r="N147" s="65">
        <v>2.0</v>
      </c>
      <c r="O147" s="66" t="s">
        <v>30</v>
      </c>
      <c r="P147" s="65">
        <v>59.0</v>
      </c>
      <c r="Q147" s="65"/>
      <c r="R147" s="67">
        <f t="array" ref="R147">INDIRECT("'renta'!G$"&amp;MATCH(O147,renta!$A:$A,0))*P147</f>
        <v>2183</v>
      </c>
      <c r="S147" s="68">
        <f t="shared" si="9"/>
        <v>12385.9641</v>
      </c>
      <c r="T147" s="69" t="str">
        <f t="shared" si="4"/>
        <v>COPPER</v>
      </c>
      <c r="U147" s="70">
        <f t="shared" si="5"/>
        <v>-0.2938917347</v>
      </c>
      <c r="V147" s="71"/>
      <c r="W147" s="72" t="str">
        <f t="shared" si="6"/>
        <v/>
      </c>
      <c r="X147" s="72"/>
      <c r="Y147" s="71">
        <v>4.0</v>
      </c>
      <c r="Z147" s="60">
        <v>0.00375</v>
      </c>
      <c r="AA147" s="85" t="s">
        <v>898</v>
      </c>
      <c r="AB147" s="74" t="s">
        <v>899</v>
      </c>
      <c r="AC147" s="75" t="s">
        <v>900</v>
      </c>
      <c r="AD147" s="70"/>
      <c r="AE147" s="76"/>
      <c r="AF147" s="61" t="s">
        <v>843</v>
      </c>
      <c r="AG147" s="61" t="s">
        <v>901</v>
      </c>
      <c r="AH147" s="86">
        <v>12.0</v>
      </c>
      <c r="AI147" s="60"/>
    </row>
    <row r="148" hidden="1" outlineLevel="1">
      <c r="A148" s="78" t="s">
        <v>902</v>
      </c>
      <c r="B148" s="38">
        <v>87.0</v>
      </c>
      <c r="C148" s="39">
        <v>0.30033564814814817</v>
      </c>
      <c r="D148" s="40">
        <f t="array" ref="D148">IFERROR(INDIRECT("'renta'!G$"&amp;MATCH(T148,renta!$A:$A,0))*0.975-(G148*INDIRECT("'renta'!G$"&amp;MATCH(F148,renta!$A:$A,0)))/B148-IFERROR((J148*INDIRECT("'renta'!G$"&amp;MATCH(I148,renta!$A:$A,0)))/B148,0),)</f>
        <v>-0.7636748989</v>
      </c>
      <c r="E148" s="41">
        <f t="shared" si="1"/>
        <v>-18.43485131</v>
      </c>
      <c r="F148" s="40" t="s">
        <v>24</v>
      </c>
      <c r="G148" s="43">
        <f t="shared" si="2"/>
        <v>2479.5</v>
      </c>
      <c r="H148" s="44" t="s">
        <v>903</v>
      </c>
      <c r="I148" s="79"/>
      <c r="J148" s="79"/>
      <c r="K148" s="79"/>
      <c r="L148" s="38" t="s">
        <v>137</v>
      </c>
      <c r="M148" s="46">
        <v>13.84</v>
      </c>
      <c r="N148" s="46">
        <v>2.0</v>
      </c>
      <c r="O148" s="42" t="s">
        <v>30</v>
      </c>
      <c r="P148" s="46">
        <v>70.0</v>
      </c>
      <c r="Q148" s="46"/>
      <c r="R148" s="47">
        <f t="array" ref="R148">INDIRECT("'renta'!G$"&amp;MATCH(O148,renta!$A:$A,0))*P148</f>
        <v>2590</v>
      </c>
      <c r="S148" s="48">
        <f t="shared" si="9"/>
        <v>14975.9641</v>
      </c>
      <c r="T148" s="49" t="str">
        <f t="shared" si="4"/>
        <v>COPPER</v>
      </c>
      <c r="U148" s="50">
        <f t="shared" si="5"/>
        <v>-0.2357530614</v>
      </c>
      <c r="V148" s="80"/>
      <c r="W148" s="52" t="str">
        <f t="shared" si="6"/>
        <v/>
      </c>
      <c r="X148" s="52"/>
      <c r="Y148" s="80">
        <v>4.0</v>
      </c>
      <c r="Z148" s="39">
        <v>0.003993055555555555</v>
      </c>
      <c r="AA148" s="81" t="s">
        <v>904</v>
      </c>
      <c r="AB148" s="82" t="s">
        <v>905</v>
      </c>
      <c r="AC148" s="54" t="s">
        <v>906</v>
      </c>
      <c r="AD148" s="50"/>
      <c r="AE148" s="83"/>
      <c r="AF148" s="40" t="s">
        <v>843</v>
      </c>
      <c r="AG148" s="40" t="s">
        <v>907</v>
      </c>
      <c r="AH148" s="87">
        <v>13.0</v>
      </c>
      <c r="AI148" s="39"/>
    </row>
    <row r="149" hidden="1" outlineLevel="1">
      <c r="A149" s="58" t="s">
        <v>908</v>
      </c>
      <c r="B149" s="59">
        <v>91.0</v>
      </c>
      <c r="C149" s="60">
        <v>0.30430555555555555</v>
      </c>
      <c r="D149" s="61">
        <f t="array" ref="D149">IFERROR(INDIRECT("'renta'!G$"&amp;MATCH(T149,renta!$A:$A,0))*0.975-(G149*INDIRECT("'renta'!G$"&amp;MATCH(F149,renta!$A:$A,0)))/B149-IFERROR((J149*INDIRECT("'renta'!G$"&amp;MATCH(I149,renta!$A:$A,0)))/B149,0),)</f>
        <v>-0.7636748989</v>
      </c>
      <c r="E149" s="41">
        <f t="shared" si="1"/>
        <v>-19.03087608</v>
      </c>
      <c r="F149" s="61" t="s">
        <v>24</v>
      </c>
      <c r="G149" s="62">
        <f t="shared" si="2"/>
        <v>2593.5</v>
      </c>
      <c r="H149" s="63" t="s">
        <v>909</v>
      </c>
      <c r="I149" s="64"/>
      <c r="J149" s="64"/>
      <c r="K149" s="64"/>
      <c r="L149" s="59" t="s">
        <v>137</v>
      </c>
      <c r="M149" s="65">
        <v>14.239</v>
      </c>
      <c r="N149" s="65">
        <v>2.0</v>
      </c>
      <c r="O149" s="66" t="s">
        <v>30</v>
      </c>
      <c r="P149" s="65">
        <v>82.0</v>
      </c>
      <c r="Q149" s="65"/>
      <c r="R149" s="67">
        <f t="array" ref="R149">INDIRECT("'renta'!G$"&amp;MATCH(O149,renta!$A:$A,0))*P149</f>
        <v>3034</v>
      </c>
      <c r="S149" s="68">
        <f t="shared" si="9"/>
        <v>18009.9641</v>
      </c>
      <c r="T149" s="69" t="str">
        <f t="shared" si="4"/>
        <v>COPPER</v>
      </c>
      <c r="U149" s="70">
        <f t="shared" si="5"/>
        <v>-0.1964485049</v>
      </c>
      <c r="V149" s="71"/>
      <c r="W149" s="72" t="str">
        <f t="shared" si="6"/>
        <v/>
      </c>
      <c r="X149" s="72"/>
      <c r="Y149" s="71">
        <v>4.0</v>
      </c>
      <c r="Z149" s="60">
        <v>0.003981481481481482</v>
      </c>
      <c r="AA149" s="85" t="s">
        <v>910</v>
      </c>
      <c r="AB149" s="74" t="s">
        <v>911</v>
      </c>
      <c r="AC149" s="75" t="s">
        <v>912</v>
      </c>
      <c r="AD149" s="70"/>
      <c r="AE149" s="76"/>
      <c r="AF149" s="61" t="s">
        <v>843</v>
      </c>
      <c r="AG149" s="61" t="s">
        <v>913</v>
      </c>
      <c r="AH149" s="86">
        <v>13.0</v>
      </c>
      <c r="AI149" s="60"/>
    </row>
    <row r="150" hidden="1" outlineLevel="1">
      <c r="A150" s="78" t="s">
        <v>914</v>
      </c>
      <c r="B150" s="38">
        <v>95.0</v>
      </c>
      <c r="C150" s="39">
        <v>0.308287037037037</v>
      </c>
      <c r="D150" s="40">
        <f t="array" ref="D150">IFERROR(INDIRECT("'renta'!G$"&amp;MATCH(T150,renta!$A:$A,0))*0.975-(G150*INDIRECT("'renta'!G$"&amp;MATCH(F150,renta!$A:$A,0)))/B150-IFERROR((J150*INDIRECT("'renta'!G$"&amp;MATCH(I150,renta!$A:$A,0)))/B150,0),)</f>
        <v>-0.7636748989</v>
      </c>
      <c r="E150" s="41">
        <f t="shared" si="1"/>
        <v>-19.61081359</v>
      </c>
      <c r="F150" s="40" t="s">
        <v>24</v>
      </c>
      <c r="G150" s="43">
        <f t="shared" si="2"/>
        <v>2707.5</v>
      </c>
      <c r="H150" s="44" t="s">
        <v>915</v>
      </c>
      <c r="I150" s="79"/>
      <c r="J150" s="79"/>
      <c r="K150" s="79"/>
      <c r="L150" s="38" t="s">
        <v>137</v>
      </c>
      <c r="M150" s="46">
        <v>14.626</v>
      </c>
      <c r="N150" s="46">
        <v>2.0</v>
      </c>
      <c r="O150" s="42" t="s">
        <v>30</v>
      </c>
      <c r="P150" s="46">
        <v>95.0</v>
      </c>
      <c r="Q150" s="46"/>
      <c r="R150" s="47">
        <f t="array" ref="R150">INDIRECT("'renta'!G$"&amp;MATCH(O150,renta!$A:$A,0))*P150</f>
        <v>3515</v>
      </c>
      <c r="S150" s="48">
        <f t="shared" si="9"/>
        <v>21524.9641</v>
      </c>
      <c r="T150" s="49" t="str">
        <f t="shared" si="4"/>
        <v>COPPER</v>
      </c>
      <c r="U150" s="50">
        <f t="shared" si="5"/>
        <v>-0.1649893365</v>
      </c>
      <c r="V150" s="80"/>
      <c r="W150" s="52" t="str">
        <f t="shared" si="6"/>
        <v/>
      </c>
      <c r="X150" s="52"/>
      <c r="Y150" s="80">
        <v>4.0</v>
      </c>
      <c r="Z150" s="39">
        <v>0.003969907407407407</v>
      </c>
      <c r="AA150" s="81" t="s">
        <v>916</v>
      </c>
      <c r="AB150" s="82" t="s">
        <v>917</v>
      </c>
      <c r="AC150" s="54" t="s">
        <v>918</v>
      </c>
      <c r="AD150" s="50"/>
      <c r="AE150" s="83"/>
      <c r="AF150" s="40" t="s">
        <v>843</v>
      </c>
      <c r="AG150" s="40" t="s">
        <v>919</v>
      </c>
      <c r="AH150" s="87">
        <v>13.0</v>
      </c>
      <c r="AI150" s="39"/>
    </row>
    <row r="151" hidden="1" outlineLevel="1">
      <c r="A151" s="58" t="s">
        <v>920</v>
      </c>
      <c r="B151" s="59">
        <v>99.0</v>
      </c>
      <c r="C151" s="60">
        <v>0.3122685185185185</v>
      </c>
      <c r="D151" s="61">
        <f t="array" ref="D151">IFERROR(INDIRECT("'renta'!G$"&amp;MATCH(T151,renta!$A:$A,0))*0.975-(G151*INDIRECT("'renta'!G$"&amp;MATCH(F151,renta!$A:$A,0)))/B151-IFERROR((J151*INDIRECT("'renta'!G$"&amp;MATCH(I151,renta!$A:$A,0)))/B151,0),)</f>
        <v>-0.7636748989</v>
      </c>
      <c r="E151" s="41">
        <f t="shared" si="1"/>
        <v>-20.17596249</v>
      </c>
      <c r="F151" s="61" t="s">
        <v>24</v>
      </c>
      <c r="G151" s="62">
        <f t="shared" si="2"/>
        <v>2821.5</v>
      </c>
      <c r="H151" s="63" t="s">
        <v>921</v>
      </c>
      <c r="I151" s="64"/>
      <c r="J151" s="64"/>
      <c r="K151" s="64"/>
      <c r="L151" s="59" t="s">
        <v>137</v>
      </c>
      <c r="M151" s="65">
        <v>15.003</v>
      </c>
      <c r="N151" s="65">
        <v>2.0</v>
      </c>
      <c r="O151" s="66" t="s">
        <v>34</v>
      </c>
      <c r="P151" s="65">
        <v>37.0</v>
      </c>
      <c r="Q151" s="65"/>
      <c r="R151" s="67">
        <f t="array" ref="R151">INDIRECT("'renta'!G$"&amp;MATCH(O151,renta!$A:$A,0))*P151</f>
        <v>4909.239661</v>
      </c>
      <c r="S151" s="68">
        <f t="shared" si="9"/>
        <v>26434.20376</v>
      </c>
      <c r="T151" s="69" t="str">
        <f t="shared" si="4"/>
        <v>COPPER</v>
      </c>
      <c r="U151" s="70">
        <f t="shared" si="5"/>
        <v>-0.115119435</v>
      </c>
      <c r="V151" s="71"/>
      <c r="W151" s="72" t="str">
        <f t="shared" si="6"/>
        <v/>
      </c>
      <c r="X151" s="72"/>
      <c r="Y151" s="71">
        <v>4.0</v>
      </c>
      <c r="Z151" s="60">
        <v>0.003981481481481482</v>
      </c>
      <c r="AA151" s="85" t="s">
        <v>724</v>
      </c>
      <c r="AB151" s="74" t="s">
        <v>922</v>
      </c>
      <c r="AC151" s="75" t="s">
        <v>918</v>
      </c>
      <c r="AD151" s="70"/>
      <c r="AE151" s="76"/>
      <c r="AF151" s="61" t="s">
        <v>843</v>
      </c>
      <c r="AG151" s="61" t="s">
        <v>923</v>
      </c>
      <c r="AH151" s="86">
        <v>13.0</v>
      </c>
      <c r="AI151" s="60"/>
    </row>
    <row r="152" hidden="1" outlineLevel="1">
      <c r="A152" s="78" t="s">
        <v>924</v>
      </c>
      <c r="B152" s="38">
        <v>103.0</v>
      </c>
      <c r="C152" s="39">
        <v>0.31626157407407407</v>
      </c>
      <c r="D152" s="40">
        <f t="array" ref="D152">IFERROR(INDIRECT("'renta'!G$"&amp;MATCH(T152,renta!$A:$A,0))*0.975-(G152*INDIRECT("'renta'!G$"&amp;MATCH(F152,renta!$A:$A,0)))/B152-IFERROR((J152*INDIRECT("'renta'!G$"&amp;MATCH(I152,renta!$A:$A,0)))/B152,0),)</f>
        <v>-0.7636748989</v>
      </c>
      <c r="E152" s="41">
        <f t="shared" si="1"/>
        <v>-20.72612278</v>
      </c>
      <c r="F152" s="40" t="s">
        <v>24</v>
      </c>
      <c r="G152" s="43">
        <f t="shared" si="2"/>
        <v>2935.5</v>
      </c>
      <c r="H152" s="44" t="s">
        <v>925</v>
      </c>
      <c r="I152" s="79"/>
      <c r="J152" s="79"/>
      <c r="K152" s="79"/>
      <c r="L152" s="38" t="s">
        <v>137</v>
      </c>
      <c r="M152" s="46">
        <v>15.37</v>
      </c>
      <c r="N152" s="46">
        <v>2.0</v>
      </c>
      <c r="O152" s="42" t="s">
        <v>34</v>
      </c>
      <c r="P152" s="46">
        <v>43.0</v>
      </c>
      <c r="Q152" s="46"/>
      <c r="R152" s="47">
        <f t="array" ref="R152">INDIRECT("'renta'!G$"&amp;MATCH(O152,renta!$A:$A,0))*P152</f>
        <v>5705.33258</v>
      </c>
      <c r="S152" s="48">
        <f t="shared" si="9"/>
        <v>32139.53634</v>
      </c>
      <c r="T152" s="49" t="str">
        <f t="shared" si="4"/>
        <v>COPPER</v>
      </c>
      <c r="U152" s="50">
        <f t="shared" si="5"/>
        <v>-0.09642913647</v>
      </c>
      <c r="V152" s="80"/>
      <c r="W152" s="52" t="str">
        <f t="shared" si="6"/>
        <v/>
      </c>
      <c r="X152" s="52"/>
      <c r="Y152" s="80">
        <v>4.0</v>
      </c>
      <c r="Z152" s="39">
        <v>0.003993055555555555</v>
      </c>
      <c r="AA152" s="81" t="s">
        <v>730</v>
      </c>
      <c r="AB152" s="82" t="s">
        <v>926</v>
      </c>
      <c r="AC152" s="54" t="s">
        <v>927</v>
      </c>
      <c r="AD152" s="50"/>
      <c r="AE152" s="83"/>
      <c r="AF152" s="40" t="s">
        <v>843</v>
      </c>
      <c r="AG152" s="40" t="s">
        <v>928</v>
      </c>
      <c r="AH152" s="87">
        <v>13.0</v>
      </c>
      <c r="AI152" s="39"/>
    </row>
    <row r="153" hidden="1" outlineLevel="1">
      <c r="A153" s="58" t="s">
        <v>929</v>
      </c>
      <c r="B153" s="59">
        <v>107.0</v>
      </c>
      <c r="C153" s="60">
        <v>0.3202777777777778</v>
      </c>
      <c r="D153" s="61">
        <f t="array" ref="D153">IFERROR(INDIRECT("'renta'!G$"&amp;MATCH(T153,renta!$A:$A,0))*0.975-(G153*INDIRECT("'renta'!G$"&amp;MATCH(F153,renta!$A:$A,0)))/B153-IFERROR((J153*INDIRECT("'renta'!G$"&amp;MATCH(I153,renta!$A:$A,0)))/B153,0),)</f>
        <v>-0.7636748989</v>
      </c>
      <c r="E153" s="41">
        <f t="shared" si="1"/>
        <v>-21.26102711</v>
      </c>
      <c r="F153" s="61" t="s">
        <v>24</v>
      </c>
      <c r="G153" s="62">
        <f t="shared" si="2"/>
        <v>3049.5</v>
      </c>
      <c r="H153" s="63" t="s">
        <v>930</v>
      </c>
      <c r="I153" s="64"/>
      <c r="J153" s="64"/>
      <c r="K153" s="64"/>
      <c r="L153" s="59" t="s">
        <v>137</v>
      </c>
      <c r="M153" s="65">
        <v>15.727</v>
      </c>
      <c r="N153" s="65">
        <v>2.0</v>
      </c>
      <c r="O153" s="66" t="s">
        <v>34</v>
      </c>
      <c r="P153" s="65">
        <v>50.0</v>
      </c>
      <c r="Q153" s="65"/>
      <c r="R153" s="67">
        <f t="array" ref="R153">INDIRECT("'renta'!G$"&amp;MATCH(O153,renta!$A:$A,0))*P153</f>
        <v>6634.107651</v>
      </c>
      <c r="S153" s="68">
        <f t="shared" si="9"/>
        <v>38773.64399</v>
      </c>
      <c r="T153" s="69" t="str">
        <f t="shared" si="4"/>
        <v>COPPER</v>
      </c>
      <c r="U153" s="70">
        <f t="shared" si="5"/>
        <v>-0.080629431</v>
      </c>
      <c r="V153" s="71"/>
      <c r="W153" s="72" t="str">
        <f t="shared" si="6"/>
        <v/>
      </c>
      <c r="X153" s="72"/>
      <c r="Y153" s="71">
        <v>4.0</v>
      </c>
      <c r="Z153" s="60">
        <v>0.004016203703703704</v>
      </c>
      <c r="AA153" s="85" t="s">
        <v>931</v>
      </c>
      <c r="AB153" s="74" t="s">
        <v>932</v>
      </c>
      <c r="AC153" s="75" t="s">
        <v>933</v>
      </c>
      <c r="AD153" s="70"/>
      <c r="AE153" s="76"/>
      <c r="AF153" s="61" t="s">
        <v>843</v>
      </c>
      <c r="AG153" s="61" t="s">
        <v>934</v>
      </c>
      <c r="AH153" s="86">
        <v>14.0</v>
      </c>
      <c r="AI153" s="60"/>
    </row>
    <row r="154" hidden="1" outlineLevel="1">
      <c r="A154" s="78" t="s">
        <v>935</v>
      </c>
      <c r="B154" s="38">
        <v>111.0</v>
      </c>
      <c r="C154" s="39">
        <v>0.3241087962962963</v>
      </c>
      <c r="D154" s="40">
        <f t="array" ref="D154">IFERROR(INDIRECT("'renta'!G$"&amp;MATCH(T154,renta!$A:$A,0))*0.975-(G154*INDIRECT("'renta'!G$"&amp;MATCH(F154,renta!$A:$A,0)))/B154-IFERROR((J154*INDIRECT("'renta'!G$"&amp;MATCH(I154,renta!$A:$A,0)))/B154,0),)</f>
        <v>-0.7636748989</v>
      </c>
      <c r="E154" s="41">
        <f t="shared" si="1"/>
        <v>-21.79512835</v>
      </c>
      <c r="F154" s="40" t="s">
        <v>24</v>
      </c>
      <c r="G154" s="43">
        <f t="shared" si="2"/>
        <v>3163.5</v>
      </c>
      <c r="H154" s="44" t="s">
        <v>936</v>
      </c>
      <c r="I154" s="79"/>
      <c r="J154" s="79"/>
      <c r="K154" s="79"/>
      <c r="L154" s="38" t="s">
        <v>137</v>
      </c>
      <c r="M154" s="46">
        <v>16.075</v>
      </c>
      <c r="N154" s="46">
        <v>2.0</v>
      </c>
      <c r="O154" s="42" t="s">
        <v>34</v>
      </c>
      <c r="P154" s="46">
        <v>59.0</v>
      </c>
      <c r="Q154" s="46"/>
      <c r="R154" s="47">
        <f t="array" ref="R154">INDIRECT("'renta'!G$"&amp;MATCH(O154,renta!$A:$A,0))*P154</f>
        <v>7828.247028</v>
      </c>
      <c r="S154" s="48">
        <f t="shared" si="9"/>
        <v>46601.89102</v>
      </c>
      <c r="T154" s="49" t="str">
        <f t="shared" si="4"/>
        <v>COPPER</v>
      </c>
      <c r="U154" s="50">
        <f t="shared" si="5"/>
        <v>-0.06822743859</v>
      </c>
      <c r="V154" s="80"/>
      <c r="W154" s="52" t="str">
        <f t="shared" si="6"/>
        <v/>
      </c>
      <c r="X154" s="52"/>
      <c r="Y154" s="80">
        <v>4.0</v>
      </c>
      <c r="Z154" s="39">
        <v>0.0038194444444444443</v>
      </c>
      <c r="AA154" s="81" t="s">
        <v>937</v>
      </c>
      <c r="AB154" s="82" t="s">
        <v>938</v>
      </c>
      <c r="AC154" s="54" t="s">
        <v>939</v>
      </c>
      <c r="AD154" s="50"/>
      <c r="AE154" s="83"/>
      <c r="AF154" s="40" t="s">
        <v>843</v>
      </c>
      <c r="AG154" s="40" t="s">
        <v>940</v>
      </c>
      <c r="AH154" s="87">
        <v>14.0</v>
      </c>
      <c r="AI154" s="39"/>
    </row>
    <row r="155" hidden="1" outlineLevel="1">
      <c r="A155" s="58" t="s">
        <v>941</v>
      </c>
      <c r="B155" s="59">
        <v>115.0</v>
      </c>
      <c r="C155" s="60">
        <v>0.32797453703703705</v>
      </c>
      <c r="D155" s="61">
        <f t="array" ref="D155">IFERROR(INDIRECT("'renta'!G$"&amp;MATCH(T155,renta!$A:$A,0))*0.975-(G155*INDIRECT("'renta'!G$"&amp;MATCH(F155,renta!$A:$A,0)))/B155-IFERROR((J155*INDIRECT("'renta'!G$"&amp;MATCH(I155,renta!$A:$A,0)))/B155,0),)</f>
        <v>-0.7636748989</v>
      </c>
      <c r="E155" s="41">
        <f t="shared" si="1"/>
        <v>-22.31438813</v>
      </c>
      <c r="F155" s="61" t="s">
        <v>24</v>
      </c>
      <c r="G155" s="62">
        <f t="shared" si="2"/>
        <v>3277.5</v>
      </c>
      <c r="H155" s="63" t="s">
        <v>683</v>
      </c>
      <c r="I155" s="64"/>
      <c r="J155" s="64"/>
      <c r="K155" s="64"/>
      <c r="L155" s="59" t="s">
        <v>137</v>
      </c>
      <c r="M155" s="65">
        <v>16.414</v>
      </c>
      <c r="N155" s="65">
        <v>2.0</v>
      </c>
      <c r="O155" s="66" t="s">
        <v>34</v>
      </c>
      <c r="P155" s="65">
        <v>68.0</v>
      </c>
      <c r="Q155" s="65"/>
      <c r="R155" s="67">
        <f t="array" ref="R155">INDIRECT("'renta'!G$"&amp;MATCH(O155,renta!$A:$A,0))*P155</f>
        <v>9022.386405</v>
      </c>
      <c r="S155" s="68">
        <f t="shared" si="9"/>
        <v>55624.27742</v>
      </c>
      <c r="T155" s="69" t="str">
        <f t="shared" si="4"/>
        <v>COPPER</v>
      </c>
      <c r="U155" s="70">
        <f t="shared" si="5"/>
        <v>-0.05755237593</v>
      </c>
      <c r="V155" s="71"/>
      <c r="W155" s="72" t="str">
        <f t="shared" si="6"/>
        <v/>
      </c>
      <c r="X155" s="72"/>
      <c r="Y155" s="71">
        <v>4.0</v>
      </c>
      <c r="Z155" s="60">
        <v>0.0038657407407407408</v>
      </c>
      <c r="AA155" s="85" t="s">
        <v>942</v>
      </c>
      <c r="AB155" s="74" t="s">
        <v>943</v>
      </c>
      <c r="AC155" s="75" t="s">
        <v>944</v>
      </c>
      <c r="AD155" s="70"/>
      <c r="AE155" s="76"/>
      <c r="AF155" s="61" t="s">
        <v>843</v>
      </c>
      <c r="AG155" s="61" t="s">
        <v>945</v>
      </c>
      <c r="AH155" s="86">
        <v>14.0</v>
      </c>
      <c r="AI155" s="60"/>
    </row>
    <row r="156" hidden="1" outlineLevel="1">
      <c r="A156" s="78" t="s">
        <v>946</v>
      </c>
      <c r="B156" s="38">
        <v>118.0</v>
      </c>
      <c r="C156" s="39">
        <v>0.3288773148148148</v>
      </c>
      <c r="D156" s="40">
        <f t="array" ref="D156">IFERROR(INDIRECT("'renta'!G$"&amp;MATCH(T156,renta!$A:$A,0))*0.975-(G156*INDIRECT("'renta'!G$"&amp;MATCH(F156,renta!$A:$A,0)))/B156-IFERROR((J156*INDIRECT("'renta'!G$"&amp;MATCH(I156,renta!$A:$A,0)))/B156,0),)</f>
        <v>-0.7636748989</v>
      </c>
      <c r="E156" s="41">
        <f t="shared" si="1"/>
        <v>-22.83365103</v>
      </c>
      <c r="F156" s="40" t="s">
        <v>24</v>
      </c>
      <c r="G156" s="43">
        <f t="shared" si="2"/>
        <v>3363</v>
      </c>
      <c r="H156" s="44" t="s">
        <v>947</v>
      </c>
      <c r="I156" s="79"/>
      <c r="J156" s="79"/>
      <c r="K156" s="79"/>
      <c r="L156" s="38" t="s">
        <v>137</v>
      </c>
      <c r="M156" s="46">
        <v>16.604</v>
      </c>
      <c r="N156" s="46">
        <v>2.0</v>
      </c>
      <c r="O156" s="42" t="s">
        <v>34</v>
      </c>
      <c r="P156" s="46">
        <v>79.0</v>
      </c>
      <c r="Q156" s="46"/>
      <c r="R156" s="47">
        <f t="array" ref="R156">INDIRECT("'renta'!G$"&amp;MATCH(O156,renta!$A:$A,0))*P156</f>
        <v>10481.89009</v>
      </c>
      <c r="S156" s="48">
        <f t="shared" si="9"/>
        <v>66106.16751</v>
      </c>
      <c r="T156" s="49" t="str">
        <f t="shared" si="4"/>
        <v>COPPER</v>
      </c>
      <c r="U156" s="50">
        <f t="shared" si="5"/>
        <v>-0.04953905298</v>
      </c>
      <c r="V156" s="80"/>
      <c r="W156" s="52" t="str">
        <f t="shared" si="6"/>
        <v/>
      </c>
      <c r="X156" s="52"/>
      <c r="Y156" s="80">
        <v>3.0</v>
      </c>
      <c r="Z156" s="39">
        <v>9.027777777777777E-4</v>
      </c>
      <c r="AA156" s="81" t="s">
        <v>948</v>
      </c>
      <c r="AB156" s="82" t="s">
        <v>949</v>
      </c>
      <c r="AC156" s="54" t="s">
        <v>950</v>
      </c>
      <c r="AD156" s="50"/>
      <c r="AE156" s="83"/>
      <c r="AF156" s="40" t="s">
        <v>843</v>
      </c>
      <c r="AG156" s="40" t="s">
        <v>951</v>
      </c>
      <c r="AH156" s="87">
        <v>14.0</v>
      </c>
      <c r="AI156" s="39"/>
    </row>
    <row r="157" hidden="1" outlineLevel="1">
      <c r="A157" s="58" t="s">
        <v>952</v>
      </c>
      <c r="B157" s="59">
        <v>121.0</v>
      </c>
      <c r="C157" s="60">
        <v>0.3299537037037037</v>
      </c>
      <c r="D157" s="61">
        <f t="array" ref="D157">IFERROR(INDIRECT("'renta'!G$"&amp;MATCH(T157,renta!$A:$A,0))*0.975-(G157*INDIRECT("'renta'!G$"&amp;MATCH(F157,renta!$A:$A,0)))/B157-IFERROR((J157*INDIRECT("'renta'!G$"&amp;MATCH(I157,renta!$A:$A,0)))/B157,0),)</f>
        <v>-0.7636748989</v>
      </c>
      <c r="E157" s="41">
        <f t="shared" si="1"/>
        <v>-23.3377849</v>
      </c>
      <c r="F157" s="61" t="s">
        <v>24</v>
      </c>
      <c r="G157" s="62">
        <f t="shared" si="2"/>
        <v>3448.5</v>
      </c>
      <c r="H157" s="63" t="s">
        <v>953</v>
      </c>
      <c r="I157" s="64"/>
      <c r="J157" s="64"/>
      <c r="K157" s="64"/>
      <c r="L157" s="59" t="s">
        <v>137</v>
      </c>
      <c r="M157" s="65">
        <v>16.789</v>
      </c>
      <c r="N157" s="65">
        <v>2.0</v>
      </c>
      <c r="O157" s="66" t="s">
        <v>34</v>
      </c>
      <c r="P157" s="65">
        <v>95.0</v>
      </c>
      <c r="Q157" s="65"/>
      <c r="R157" s="67">
        <f t="array" ref="R157">INDIRECT("'renta'!G$"&amp;MATCH(O157,renta!$A:$A,0))*P157</f>
        <v>12604.80454</v>
      </c>
      <c r="S157" s="68">
        <f t="shared" si="9"/>
        <v>78710.97205</v>
      </c>
      <c r="T157" s="69" t="str">
        <f t="shared" si="4"/>
        <v>COPPER</v>
      </c>
      <c r="U157" s="70">
        <f t="shared" si="5"/>
        <v>-0.03999537361</v>
      </c>
      <c r="V157" s="71"/>
      <c r="W157" s="72" t="str">
        <f t="shared" si="6"/>
        <v/>
      </c>
      <c r="X157" s="72"/>
      <c r="Y157" s="71">
        <v>3.0</v>
      </c>
      <c r="Z157" s="60">
        <v>0.0010763888888888889</v>
      </c>
      <c r="AA157" s="85" t="s">
        <v>954</v>
      </c>
      <c r="AB157" s="74" t="s">
        <v>955</v>
      </c>
      <c r="AC157" s="75" t="s">
        <v>950</v>
      </c>
      <c r="AD157" s="70"/>
      <c r="AE157" s="76"/>
      <c r="AF157" s="61" t="s">
        <v>843</v>
      </c>
      <c r="AG157" s="61" t="s">
        <v>956</v>
      </c>
      <c r="AH157" s="86">
        <v>14.0</v>
      </c>
      <c r="AI157" s="60"/>
    </row>
    <row r="158" hidden="1" outlineLevel="1">
      <c r="A158" s="78" t="s">
        <v>957</v>
      </c>
      <c r="B158" s="38">
        <v>124.0</v>
      </c>
      <c r="C158" s="39">
        <v>0.33119212962962963</v>
      </c>
      <c r="D158" s="40">
        <f t="array" ref="D158">IFERROR(INDIRECT("'renta'!G$"&amp;MATCH(T158,renta!$A:$A,0))*0.975-(G158*INDIRECT("'renta'!G$"&amp;MATCH(F158,renta!$A:$A,0)))/B158-IFERROR((J158*INDIRECT("'renta'!G$"&amp;MATCH(I158,renta!$A:$A,0)))/B158,0),)</f>
        <v>-0.7636748989</v>
      </c>
      <c r="E158" s="41">
        <f t="shared" si="1"/>
        <v>-23.8269771</v>
      </c>
      <c r="F158" s="40" t="s">
        <v>24</v>
      </c>
      <c r="G158" s="43">
        <f t="shared" si="2"/>
        <v>3534</v>
      </c>
      <c r="H158" s="44" t="s">
        <v>958</v>
      </c>
      <c r="I158" s="79"/>
      <c r="J158" s="79"/>
      <c r="K158" s="79"/>
      <c r="L158" s="38" t="s">
        <v>137</v>
      </c>
      <c r="M158" s="46">
        <v>16.969</v>
      </c>
      <c r="N158" s="46">
        <v>2.0</v>
      </c>
      <c r="O158" s="42" t="s">
        <v>34</v>
      </c>
      <c r="P158" s="46">
        <v>115.0</v>
      </c>
      <c r="Q158" s="46"/>
      <c r="R158" s="47">
        <f t="array" ref="R158">INDIRECT("'renta'!G$"&amp;MATCH(O158,renta!$A:$A,0))*P158</f>
        <v>15258.4476</v>
      </c>
      <c r="S158" s="48">
        <f t="shared" si="9"/>
        <v>93969.41964</v>
      </c>
      <c r="T158" s="49" t="str">
        <f t="shared" si="4"/>
        <v>COPPER</v>
      </c>
      <c r="U158" s="50">
        <f t="shared" si="5"/>
        <v>-0.03206041755</v>
      </c>
      <c r="V158" s="80"/>
      <c r="W158" s="52" t="str">
        <f t="shared" si="6"/>
        <v/>
      </c>
      <c r="X158" s="52"/>
      <c r="Y158" s="80">
        <v>3.0</v>
      </c>
      <c r="Z158" s="39">
        <v>0.00125</v>
      </c>
      <c r="AA158" s="81" t="s">
        <v>266</v>
      </c>
      <c r="AB158" s="82" t="s">
        <v>959</v>
      </c>
      <c r="AC158" s="54" t="s">
        <v>960</v>
      </c>
      <c r="AD158" s="50"/>
      <c r="AE158" s="83"/>
      <c r="AF158" s="40" t="s">
        <v>843</v>
      </c>
      <c r="AG158" s="40" t="s">
        <v>961</v>
      </c>
      <c r="AH158" s="87">
        <v>15.0</v>
      </c>
      <c r="AI158" s="39"/>
    </row>
    <row r="159" hidden="1" outlineLevel="1">
      <c r="A159" s="58" t="s">
        <v>962</v>
      </c>
      <c r="B159" s="59">
        <v>127.0</v>
      </c>
      <c r="C159" s="60">
        <v>0.3333333333333333</v>
      </c>
      <c r="D159" s="61">
        <f t="array" ref="D159">IFERROR(INDIRECT("'renta'!G$"&amp;MATCH(T159,renta!$A:$A,0))*0.975-(G159*INDIRECT("'renta'!G$"&amp;MATCH(F159,renta!$A:$A,0)))/B159-IFERROR((J159*INDIRECT("'renta'!G$"&amp;MATCH(I159,renta!$A:$A,0)))/B159,0),)</f>
        <v>-0.7636748989</v>
      </c>
      <c r="E159" s="41">
        <f t="shared" si="1"/>
        <v>-24.24667804</v>
      </c>
      <c r="F159" s="61" t="s">
        <v>24</v>
      </c>
      <c r="G159" s="62">
        <f t="shared" si="2"/>
        <v>3619.5</v>
      </c>
      <c r="H159" s="63" t="s">
        <v>963</v>
      </c>
      <c r="I159" s="64"/>
      <c r="J159" s="64"/>
      <c r="K159" s="64"/>
      <c r="L159" s="59" t="s">
        <v>137</v>
      </c>
      <c r="M159" s="65">
        <v>17.145</v>
      </c>
      <c r="N159" s="65">
        <v>2.0</v>
      </c>
      <c r="O159" s="66" t="s">
        <v>34</v>
      </c>
      <c r="P159" s="65">
        <v>150.0</v>
      </c>
      <c r="Q159" s="65"/>
      <c r="R159" s="67">
        <f t="array" ref="R159">INDIRECT("'renta'!G$"&amp;MATCH(O159,renta!$A:$A,0))*P159</f>
        <v>19902.32295</v>
      </c>
      <c r="S159" s="68"/>
      <c r="T159" s="69" t="str">
        <f t="shared" si="4"/>
        <v>COPPER</v>
      </c>
      <c r="U159" s="70">
        <f t="shared" si="5"/>
        <v>-0.02108803783</v>
      </c>
      <c r="V159" s="71"/>
      <c r="W159" s="72" t="str">
        <f t="shared" si="6"/>
        <v/>
      </c>
      <c r="X159" s="72"/>
      <c r="Y159" s="71">
        <v>3.0</v>
      </c>
      <c r="Z159" s="60">
        <v>0.0021412037037037038</v>
      </c>
      <c r="AA159" s="85" t="s">
        <v>281</v>
      </c>
      <c r="AB159" s="74" t="s">
        <v>964</v>
      </c>
      <c r="AC159" s="75" t="s">
        <v>960</v>
      </c>
      <c r="AD159" s="70"/>
      <c r="AE159" s="76"/>
      <c r="AF159" s="61" t="s">
        <v>843</v>
      </c>
      <c r="AG159" s="61" t="s">
        <v>965</v>
      </c>
      <c r="AH159" s="86">
        <v>15.0</v>
      </c>
      <c r="AI159" s="60"/>
    </row>
    <row r="160">
      <c r="A160" s="88"/>
      <c r="B160" s="89"/>
      <c r="C160" s="90"/>
      <c r="D160" s="40" t="str">
        <f t="array" ref="D160">IFERROR(INDIRECT("'renta'!G$"&amp;MATCH(T160,renta!$A:$A,0))*0.975-(G160*INDIRECT("'renta'!G$"&amp;MATCH(F160,renta!$A:$A,0)))/B160-IFERROR((J160*INDIRECT("'renta'!G$"&amp;MATCH(I160,renta!$A:$A,0)))/B160,0),)</f>
        <v/>
      </c>
      <c r="E160" s="41">
        <f t="shared" si="1"/>
        <v>0</v>
      </c>
      <c r="F160" s="79"/>
      <c r="G160" s="43">
        <f t="shared" si="2"/>
        <v>0</v>
      </c>
      <c r="H160" s="91"/>
      <c r="I160" s="79"/>
      <c r="J160" s="79"/>
      <c r="K160" s="79"/>
      <c r="L160" s="92"/>
      <c r="M160" s="93"/>
      <c r="N160" s="93"/>
      <c r="O160" s="45"/>
      <c r="P160" s="93"/>
      <c r="Q160" s="93"/>
      <c r="R160" s="47"/>
      <c r="S160" s="48"/>
      <c r="T160" s="49" t="str">
        <f t="shared" si="4"/>
        <v/>
      </c>
      <c r="U160" s="50" t="str">
        <f t="shared" si="5"/>
        <v>#DIV/0!</v>
      </c>
      <c r="V160" s="94"/>
      <c r="W160" s="52" t="str">
        <f t="shared" si="6"/>
        <v/>
      </c>
      <c r="X160" s="52"/>
      <c r="Y160" s="94"/>
      <c r="Z160" s="90"/>
      <c r="AA160" s="95"/>
      <c r="AB160" s="50"/>
      <c r="AC160" s="83"/>
      <c r="AD160" s="50"/>
      <c r="AE160" s="83"/>
      <c r="AF160" s="79"/>
      <c r="AG160" s="79"/>
      <c r="AH160" s="84"/>
      <c r="AI160" s="90"/>
    </row>
    <row r="161">
      <c r="A161" s="58" t="s">
        <v>966</v>
      </c>
      <c r="B161" s="59">
        <v>1.0</v>
      </c>
      <c r="C161" s="60">
        <v>0.08333333333333333</v>
      </c>
      <c r="D161" s="61">
        <f t="array" ref="D161">IFERROR(INDIRECT("'renta'!G$"&amp;MATCH(T161,renta!$A:$A,0))*0.975-(G161*INDIRECT("'renta'!G$"&amp;MATCH(F161,renta!$A:$A,0)))/B161-IFERROR((J161*INDIRECT("'renta'!G$"&amp;MATCH(I161,renta!$A:$A,0)))/B161,0),)</f>
        <v>-28.73387552</v>
      </c>
      <c r="E161" s="41">
        <f t="shared" si="1"/>
        <v>-42.23879701</v>
      </c>
      <c r="F161" s="61" t="s">
        <v>14</v>
      </c>
      <c r="G161" s="62">
        <f t="shared" si="2"/>
        <v>15.2</v>
      </c>
      <c r="H161" s="63" t="s">
        <v>967</v>
      </c>
      <c r="I161" s="64"/>
      <c r="J161" s="64"/>
      <c r="K161" s="64"/>
      <c r="L161" s="59" t="s">
        <v>137</v>
      </c>
      <c r="M161" s="65">
        <v>625.0</v>
      </c>
      <c r="N161" s="65">
        <v>3.25</v>
      </c>
      <c r="O161" s="66" t="s">
        <v>12</v>
      </c>
      <c r="P161" s="65">
        <v>1.0</v>
      </c>
      <c r="Q161" s="65"/>
      <c r="R161" s="67">
        <f t="array" ref="R161">INDIRECT("'renta'!G$"&amp;MATCH(O161,renta!$A:$A,0))*P161</f>
        <v>0.0041</v>
      </c>
      <c r="S161" s="68">
        <f t="shared" ref="S161:S190" si="10">SUM(R$161:R161)</f>
        <v>0.0041</v>
      </c>
      <c r="T161" s="69" t="str">
        <f t="shared" si="4"/>
        <v>SEAWATER</v>
      </c>
      <c r="U161" s="70">
        <f t="shared" si="5"/>
        <v>-10302145.61</v>
      </c>
      <c r="V161" s="71"/>
      <c r="W161" s="72" t="str">
        <f t="shared" si="6"/>
        <v/>
      </c>
      <c r="X161" s="72"/>
      <c r="Y161" s="71">
        <v>0.0</v>
      </c>
      <c r="Z161" s="60">
        <v>0.0</v>
      </c>
      <c r="AA161" s="73">
        <v>0.0</v>
      </c>
      <c r="AB161" s="74" t="s">
        <v>968</v>
      </c>
      <c r="AC161" s="76"/>
      <c r="AD161" s="70"/>
      <c r="AE161" s="76"/>
      <c r="AF161" s="61" t="s">
        <v>806</v>
      </c>
      <c r="AG161" s="61" t="s">
        <v>969</v>
      </c>
      <c r="AH161" s="86">
        <v>5.0</v>
      </c>
      <c r="AI161" s="59">
        <v>0.47</v>
      </c>
    </row>
    <row r="162">
      <c r="A162" s="78" t="s">
        <v>970</v>
      </c>
      <c r="B162" s="38">
        <v>1.0</v>
      </c>
      <c r="C162" s="39">
        <v>0.08333333333333333</v>
      </c>
      <c r="D162" s="40">
        <f t="array" ref="D162">IFERROR(INDIRECT("'renta'!G$"&amp;MATCH(T162,renta!$A:$A,0))*0.975-(G162*INDIRECT("'renta'!G$"&amp;MATCH(F162,renta!$A:$A,0)))/B162-IFERROR((J162*INDIRECT("'renta'!G$"&amp;MATCH(I162,renta!$A:$A,0)))/B162,0),)</f>
        <v>-17.10587552</v>
      </c>
      <c r="E162" s="41">
        <f t="shared" si="1"/>
        <v>-25.14563701</v>
      </c>
      <c r="F162" s="40" t="s">
        <v>14</v>
      </c>
      <c r="G162" s="43">
        <f t="shared" si="2"/>
        <v>11.4</v>
      </c>
      <c r="H162" s="44" t="s">
        <v>150</v>
      </c>
      <c r="I162" s="79"/>
      <c r="J162" s="79"/>
      <c r="K162" s="79"/>
      <c r="L162" s="38" t="s">
        <v>971</v>
      </c>
      <c r="M162" s="46">
        <v>625.0</v>
      </c>
      <c r="N162" s="46">
        <v>3.25</v>
      </c>
      <c r="O162" s="42" t="s">
        <v>27</v>
      </c>
      <c r="P162" s="46">
        <v>6.0</v>
      </c>
      <c r="Q162" s="46"/>
      <c r="R162" s="47">
        <f t="array" ref="R162">INDIRECT("'renta'!G$"&amp;MATCH(O162,renta!$A:$A,0))*P162</f>
        <v>49.98</v>
      </c>
      <c r="S162" s="48">
        <f t="shared" si="10"/>
        <v>49.9841</v>
      </c>
      <c r="T162" s="49" t="str">
        <f t="shared" si="4"/>
        <v>SEAWATER</v>
      </c>
      <c r="U162" s="50">
        <f t="shared" si="5"/>
        <v>342</v>
      </c>
      <c r="V162" s="80"/>
      <c r="W162" s="52" t="str">
        <f t="shared" si="6"/>
        <v/>
      </c>
      <c r="X162" s="52"/>
      <c r="Y162" s="80">
        <v>0.0</v>
      </c>
      <c r="Z162" s="39">
        <v>0.0</v>
      </c>
      <c r="AA162" s="53">
        <v>0.0</v>
      </c>
      <c r="AB162" s="82" t="s">
        <v>972</v>
      </c>
      <c r="AC162" s="83"/>
      <c r="AD162" s="50"/>
      <c r="AE162" s="83"/>
      <c r="AF162" s="40" t="s">
        <v>806</v>
      </c>
      <c r="AG162" s="40" t="s">
        <v>969</v>
      </c>
      <c r="AH162" s="87">
        <v>5.0</v>
      </c>
      <c r="AI162" s="38">
        <v>0.47</v>
      </c>
    </row>
    <row r="163">
      <c r="A163" s="58" t="s">
        <v>973</v>
      </c>
      <c r="B163" s="59">
        <v>1.0</v>
      </c>
      <c r="C163" s="60">
        <v>0.08333333333333333</v>
      </c>
      <c r="D163" s="61">
        <f t="array" ref="D163">IFERROR(INDIRECT("'renta'!G$"&amp;MATCH(T163,renta!$A:$A,0))*0.975-(G163*INDIRECT("'renta'!G$"&amp;MATCH(F163,renta!$A:$A,0)))/B163-IFERROR((J163*INDIRECT("'renta'!G$"&amp;MATCH(I163,renta!$A:$A,0)))/B163,0),)</f>
        <v>-11.29187552</v>
      </c>
      <c r="E163" s="41">
        <f t="shared" si="1"/>
        <v>-16.59905701</v>
      </c>
      <c r="F163" s="61" t="s">
        <v>14</v>
      </c>
      <c r="G163" s="62">
        <f t="shared" si="2"/>
        <v>9.5</v>
      </c>
      <c r="H163" s="63" t="s">
        <v>398</v>
      </c>
      <c r="I163" s="64"/>
      <c r="J163" s="64"/>
      <c r="K163" s="64"/>
      <c r="L163" s="59" t="s">
        <v>974</v>
      </c>
      <c r="M163" s="65">
        <v>625.0</v>
      </c>
      <c r="N163" s="65">
        <v>3.25</v>
      </c>
      <c r="O163" s="66" t="s">
        <v>27</v>
      </c>
      <c r="P163" s="65">
        <v>10.0</v>
      </c>
      <c r="Q163" s="65"/>
      <c r="R163" s="67">
        <f t="array" ref="R163">INDIRECT("'renta'!G$"&amp;MATCH(O163,renta!$A:$A,0))*P163</f>
        <v>83.3</v>
      </c>
      <c r="S163" s="68">
        <f t="shared" si="10"/>
        <v>133.2841</v>
      </c>
      <c r="T163" s="69" t="str">
        <f t="shared" si="4"/>
        <v>SEAWATER</v>
      </c>
      <c r="U163" s="70">
        <f t="shared" si="5"/>
        <v>102.6</v>
      </c>
      <c r="V163" s="71"/>
      <c r="W163" s="72" t="str">
        <f t="shared" si="6"/>
        <v/>
      </c>
      <c r="X163" s="72"/>
      <c r="Y163" s="71">
        <v>0.0</v>
      </c>
      <c r="Z163" s="60">
        <v>0.0</v>
      </c>
      <c r="AA163" s="73">
        <v>0.0</v>
      </c>
      <c r="AB163" s="74" t="s">
        <v>975</v>
      </c>
      <c r="AC163" s="76"/>
      <c r="AD163" s="70"/>
      <c r="AE163" s="76"/>
      <c r="AF163" s="61" t="s">
        <v>806</v>
      </c>
      <c r="AG163" s="61" t="s">
        <v>969</v>
      </c>
      <c r="AH163" s="86">
        <v>5.0</v>
      </c>
      <c r="AI163" s="59">
        <v>0.47</v>
      </c>
    </row>
    <row r="164">
      <c r="A164" s="78" t="s">
        <v>976</v>
      </c>
      <c r="B164" s="38">
        <v>1.0</v>
      </c>
      <c r="C164" s="39">
        <v>0.08333333333333333</v>
      </c>
      <c r="D164" s="40">
        <f t="array" ref="D164">IFERROR(INDIRECT("'renta'!G$"&amp;MATCH(T164,renta!$A:$A,0))*0.975-(G164*INDIRECT("'renta'!G$"&amp;MATCH(F164,renta!$A:$A,0)))/B164-IFERROR((J164*INDIRECT("'renta'!G$"&amp;MATCH(I164,renta!$A:$A,0)))/B164,0),)</f>
        <v>-7.803475516</v>
      </c>
      <c r="E164" s="41">
        <f t="shared" si="1"/>
        <v>-11.47110901</v>
      </c>
      <c r="F164" s="40" t="s">
        <v>14</v>
      </c>
      <c r="G164" s="43">
        <f t="shared" si="2"/>
        <v>8.36</v>
      </c>
      <c r="H164" s="44" t="s">
        <v>977</v>
      </c>
      <c r="I164" s="79"/>
      <c r="J164" s="79"/>
      <c r="K164" s="79"/>
      <c r="L164" s="38" t="s">
        <v>978</v>
      </c>
      <c r="M164" s="46">
        <v>625.0</v>
      </c>
      <c r="N164" s="46">
        <v>3.25</v>
      </c>
      <c r="O164" s="42" t="s">
        <v>27</v>
      </c>
      <c r="P164" s="46">
        <v>14.0</v>
      </c>
      <c r="Q164" s="46"/>
      <c r="R164" s="47">
        <f t="array" ref="R164">INDIRECT("'renta'!G$"&amp;MATCH(O164,renta!$A:$A,0))*P164</f>
        <v>116.62</v>
      </c>
      <c r="S164" s="48">
        <f t="shared" si="10"/>
        <v>249.9041</v>
      </c>
      <c r="T164" s="49" t="str">
        <f t="shared" si="4"/>
        <v>SEAWATER</v>
      </c>
      <c r="U164" s="50">
        <f t="shared" si="5"/>
        <v>43.97142857</v>
      </c>
      <c r="V164" s="80"/>
      <c r="W164" s="52" t="str">
        <f t="shared" si="6"/>
        <v/>
      </c>
      <c r="X164" s="52"/>
      <c r="Y164" s="80">
        <v>0.0</v>
      </c>
      <c r="Z164" s="39">
        <v>0.0</v>
      </c>
      <c r="AA164" s="53">
        <v>0.0</v>
      </c>
      <c r="AB164" s="82" t="s">
        <v>979</v>
      </c>
      <c r="AC164" s="83"/>
      <c r="AD164" s="50"/>
      <c r="AE164" s="83"/>
      <c r="AF164" s="40" t="s">
        <v>806</v>
      </c>
      <c r="AG164" s="40" t="s">
        <v>969</v>
      </c>
      <c r="AH164" s="87">
        <v>5.0</v>
      </c>
      <c r="AI164" s="38">
        <v>0.47</v>
      </c>
    </row>
    <row r="165">
      <c r="A165" s="58" t="s">
        <v>980</v>
      </c>
      <c r="B165" s="59">
        <v>1.0</v>
      </c>
      <c r="C165" s="60">
        <v>0.08333333333333333</v>
      </c>
      <c r="D165" s="61">
        <f t="array" ref="D165">IFERROR(INDIRECT("'renta'!G$"&amp;MATCH(T165,renta!$A:$A,0))*0.975-(G165*INDIRECT("'renta'!G$"&amp;MATCH(F165,renta!$A:$A,0)))/B165-IFERROR((J165*INDIRECT("'renta'!G$"&amp;MATCH(I165,renta!$A:$A,0)))/B165,0),)</f>
        <v>-5.477875516</v>
      </c>
      <c r="E165" s="41">
        <f t="shared" si="1"/>
        <v>-8.052477009</v>
      </c>
      <c r="F165" s="61" t="s">
        <v>14</v>
      </c>
      <c r="G165" s="62">
        <f t="shared" si="2"/>
        <v>7.6</v>
      </c>
      <c r="H165" s="63" t="s">
        <v>981</v>
      </c>
      <c r="I165" s="64"/>
      <c r="J165" s="64"/>
      <c r="K165" s="64"/>
      <c r="L165" s="59" t="s">
        <v>982</v>
      </c>
      <c r="M165" s="65">
        <v>625.0</v>
      </c>
      <c r="N165" s="65">
        <v>3.25</v>
      </c>
      <c r="O165" s="66" t="s">
        <v>27</v>
      </c>
      <c r="P165" s="65">
        <v>20.0</v>
      </c>
      <c r="Q165" s="65"/>
      <c r="R165" s="67">
        <f t="array" ref="R165">INDIRECT("'renta'!G$"&amp;MATCH(O165,renta!$A:$A,0))*P165</f>
        <v>166.6</v>
      </c>
      <c r="S165" s="68">
        <f t="shared" si="10"/>
        <v>416.5041</v>
      </c>
      <c r="T165" s="69" t="str">
        <f t="shared" si="4"/>
        <v>SEAWATER</v>
      </c>
      <c r="U165" s="70">
        <f t="shared" si="5"/>
        <v>20.52</v>
      </c>
      <c r="V165" s="71"/>
      <c r="W165" s="72" t="str">
        <f t="shared" si="6"/>
        <v/>
      </c>
      <c r="X165" s="72"/>
      <c r="Y165" s="71">
        <v>0.0</v>
      </c>
      <c r="Z165" s="60">
        <v>0.0</v>
      </c>
      <c r="AA165" s="73">
        <v>0.0</v>
      </c>
      <c r="AB165" s="74" t="s">
        <v>983</v>
      </c>
      <c r="AC165" s="76"/>
      <c r="AD165" s="70"/>
      <c r="AE165" s="76"/>
      <c r="AF165" s="61" t="s">
        <v>806</v>
      </c>
      <c r="AG165" s="61" t="s">
        <v>969</v>
      </c>
      <c r="AH165" s="86">
        <v>5.0</v>
      </c>
      <c r="AI165" s="59">
        <v>0.47</v>
      </c>
    </row>
    <row r="166">
      <c r="A166" s="78" t="s">
        <v>984</v>
      </c>
      <c r="B166" s="38">
        <v>2.0</v>
      </c>
      <c r="C166" s="39">
        <v>0.08333333333333333</v>
      </c>
      <c r="D166" s="40">
        <f t="array" ref="D166">IFERROR(INDIRECT("'renta'!G$"&amp;MATCH(T166,renta!$A:$A,0))*0.975-(G166*INDIRECT("'renta'!G$"&amp;MATCH(F166,renta!$A:$A,0)))/B166-IFERROR((J166*INDIRECT("'renta'!G$"&amp;MATCH(I166,renta!$A:$A,0)))/B166,0),)</f>
        <v>-5.477875516</v>
      </c>
      <c r="E166" s="41">
        <f t="shared" si="1"/>
        <v>-16.10495402</v>
      </c>
      <c r="F166" s="40" t="s">
        <v>14</v>
      </c>
      <c r="G166" s="43">
        <f t="shared" si="2"/>
        <v>15.2</v>
      </c>
      <c r="H166" s="44" t="s">
        <v>967</v>
      </c>
      <c r="I166" s="79"/>
      <c r="J166" s="79"/>
      <c r="K166" s="79"/>
      <c r="L166" s="38" t="s">
        <v>982</v>
      </c>
      <c r="M166" s="46">
        <v>1.246</v>
      </c>
      <c r="N166" s="46">
        <v>3.25</v>
      </c>
      <c r="O166" s="42" t="s">
        <v>30</v>
      </c>
      <c r="P166" s="46">
        <v>5.0</v>
      </c>
      <c r="Q166" s="46"/>
      <c r="R166" s="47">
        <f t="array" ref="R166">INDIRECT("'renta'!G$"&amp;MATCH(O166,renta!$A:$A,0))*P166</f>
        <v>185</v>
      </c>
      <c r="S166" s="48">
        <f t="shared" si="10"/>
        <v>601.5041</v>
      </c>
      <c r="T166" s="49" t="str">
        <f t="shared" si="4"/>
        <v>SEAWATER</v>
      </c>
      <c r="U166" s="50">
        <f t="shared" si="5"/>
        <v>-43.52690275</v>
      </c>
      <c r="V166" s="80"/>
      <c r="W166" s="52" t="str">
        <f t="shared" si="6"/>
        <v/>
      </c>
      <c r="X166" s="52"/>
      <c r="Y166" s="80">
        <v>1.0</v>
      </c>
      <c r="Z166" s="39">
        <v>0.0</v>
      </c>
      <c r="AA166" s="53">
        <v>1.0</v>
      </c>
      <c r="AB166" s="82" t="s">
        <v>968</v>
      </c>
      <c r="AC166" s="83"/>
      <c r="AD166" s="50"/>
      <c r="AE166" s="83"/>
      <c r="AF166" s="40" t="s">
        <v>806</v>
      </c>
      <c r="AG166" s="40" t="s">
        <v>985</v>
      </c>
      <c r="AH166" s="87">
        <v>5.0</v>
      </c>
      <c r="AI166" s="38">
        <v>0.47</v>
      </c>
    </row>
    <row r="167">
      <c r="A167" s="58" t="s">
        <v>986</v>
      </c>
      <c r="B167" s="59">
        <v>4.0</v>
      </c>
      <c r="C167" s="60">
        <v>0.14583333333333334</v>
      </c>
      <c r="D167" s="61">
        <f t="array" ref="D167">IFERROR(INDIRECT("'renta'!G$"&amp;MATCH(T167,renta!$A:$A,0))*0.975-(G167*INDIRECT("'renta'!G$"&amp;MATCH(F167,renta!$A:$A,0)))/B167-IFERROR((J167*INDIRECT("'renta'!G$"&amp;MATCH(I167,renta!$A:$A,0)))/B167,0),)</f>
        <v>-5.477875516</v>
      </c>
      <c r="E167" s="41">
        <f t="shared" si="1"/>
        <v>-18.40566173</v>
      </c>
      <c r="F167" s="61" t="s">
        <v>14</v>
      </c>
      <c r="G167" s="62">
        <f t="shared" si="2"/>
        <v>30.4</v>
      </c>
      <c r="H167" s="63" t="s">
        <v>987</v>
      </c>
      <c r="I167" s="64"/>
      <c r="J167" s="64"/>
      <c r="K167" s="64"/>
      <c r="L167" s="59" t="s">
        <v>982</v>
      </c>
      <c r="M167" s="65">
        <v>2.48</v>
      </c>
      <c r="N167" s="65">
        <v>3.25</v>
      </c>
      <c r="O167" s="66" t="s">
        <v>30</v>
      </c>
      <c r="P167" s="65">
        <v>7.0</v>
      </c>
      <c r="Q167" s="65"/>
      <c r="R167" s="67">
        <f t="array" ref="R167">INDIRECT("'renta'!G$"&amp;MATCH(O167,renta!$A:$A,0))*P167</f>
        <v>259</v>
      </c>
      <c r="S167" s="68">
        <f t="shared" si="10"/>
        <v>860.5041</v>
      </c>
      <c r="T167" s="69" t="str">
        <f t="shared" si="4"/>
        <v>SEAWATER</v>
      </c>
      <c r="U167" s="70">
        <f t="shared" si="5"/>
        <v>-8.883041378</v>
      </c>
      <c r="V167" s="71"/>
      <c r="W167" s="72" t="str">
        <f t="shared" si="6"/>
        <v/>
      </c>
      <c r="X167" s="72"/>
      <c r="Y167" s="71">
        <v>2.0</v>
      </c>
      <c r="Z167" s="60">
        <v>0.0625</v>
      </c>
      <c r="AA167" s="85" t="s">
        <v>416</v>
      </c>
      <c r="AB167" s="74" t="s">
        <v>988</v>
      </c>
      <c r="AC167" s="76"/>
      <c r="AD167" s="70"/>
      <c r="AE167" s="76"/>
      <c r="AF167" s="61" t="s">
        <v>806</v>
      </c>
      <c r="AG167" s="61" t="s">
        <v>989</v>
      </c>
      <c r="AH167" s="86">
        <v>5.0</v>
      </c>
      <c r="AI167" s="59">
        <v>0.47</v>
      </c>
    </row>
    <row r="168">
      <c r="A168" s="78" t="s">
        <v>990</v>
      </c>
      <c r="B168" s="38">
        <v>7.0</v>
      </c>
      <c r="C168" s="39">
        <v>0.21875</v>
      </c>
      <c r="D168" s="40">
        <f t="array" ref="D168">IFERROR(INDIRECT("'renta'!G$"&amp;MATCH(T168,renta!$A:$A,0))*0.975-(G168*INDIRECT("'renta'!G$"&amp;MATCH(F168,renta!$A:$A,0)))/B168-IFERROR((J168*INDIRECT("'renta'!G$"&amp;MATCH(I168,renta!$A:$A,0)))/B168,0),)</f>
        <v>-5.477875516</v>
      </c>
      <c r="E168" s="41">
        <f t="shared" si="1"/>
        <v>-21.47327202</v>
      </c>
      <c r="F168" s="40" t="s">
        <v>14</v>
      </c>
      <c r="G168" s="43">
        <f t="shared" si="2"/>
        <v>53.2</v>
      </c>
      <c r="H168" s="44" t="s">
        <v>991</v>
      </c>
      <c r="I168" s="79"/>
      <c r="J168" s="79"/>
      <c r="K168" s="79"/>
      <c r="L168" s="38" t="s">
        <v>982</v>
      </c>
      <c r="M168" s="46">
        <v>4.326</v>
      </c>
      <c r="N168" s="46">
        <v>3.25</v>
      </c>
      <c r="O168" s="42" t="s">
        <v>30</v>
      </c>
      <c r="P168" s="46">
        <v>9.0</v>
      </c>
      <c r="Q168" s="46"/>
      <c r="R168" s="47">
        <f t="array" ref="R168">INDIRECT("'renta'!G$"&amp;MATCH(O168,renta!$A:$A,0))*P168</f>
        <v>333</v>
      </c>
      <c r="S168" s="48">
        <f t="shared" si="10"/>
        <v>1193.5041</v>
      </c>
      <c r="T168" s="49" t="str">
        <f t="shared" si="4"/>
        <v>SEAWATER</v>
      </c>
      <c r="U168" s="50">
        <f t="shared" si="5"/>
        <v>-9.21204291</v>
      </c>
      <c r="V168" s="80"/>
      <c r="W168" s="52" t="str">
        <f t="shared" si="6"/>
        <v/>
      </c>
      <c r="X168" s="52"/>
      <c r="Y168" s="80">
        <v>3.0</v>
      </c>
      <c r="Z168" s="39">
        <v>0.07291666666666667</v>
      </c>
      <c r="AA168" s="81" t="s">
        <v>992</v>
      </c>
      <c r="AB168" s="82" t="s">
        <v>993</v>
      </c>
      <c r="AC168" s="83"/>
      <c r="AD168" s="50"/>
      <c r="AE168" s="83"/>
      <c r="AF168" s="40" t="s">
        <v>806</v>
      </c>
      <c r="AG168" s="40" t="s">
        <v>994</v>
      </c>
      <c r="AH168" s="87">
        <v>5.0</v>
      </c>
      <c r="AI168" s="38">
        <v>0.47</v>
      </c>
    </row>
    <row r="169">
      <c r="A169" s="58" t="s">
        <v>995</v>
      </c>
      <c r="B169" s="59">
        <v>10.0</v>
      </c>
      <c r="C169" s="60">
        <v>0.28125</v>
      </c>
      <c r="D169" s="61">
        <f t="array" ref="D169">IFERROR(INDIRECT("'renta'!G$"&amp;MATCH(T169,renta!$A:$A,0))*0.975-(G169*INDIRECT("'renta'!G$"&amp;MATCH(F169,renta!$A:$A,0)))/B169-IFERROR((J169*INDIRECT("'renta'!G$"&amp;MATCH(I169,renta!$A:$A,0)))/B169,0),)</f>
        <v>-5.477875516</v>
      </c>
      <c r="E169" s="41">
        <f t="shared" si="1"/>
        <v>-23.85919114</v>
      </c>
      <c r="F169" s="61" t="s">
        <v>14</v>
      </c>
      <c r="G169" s="62">
        <f t="shared" si="2"/>
        <v>76</v>
      </c>
      <c r="H169" s="63" t="s">
        <v>996</v>
      </c>
      <c r="I169" s="64"/>
      <c r="J169" s="64"/>
      <c r="K169" s="64"/>
      <c r="L169" s="59" t="s">
        <v>982</v>
      </c>
      <c r="M169" s="65">
        <v>6.15</v>
      </c>
      <c r="N169" s="65">
        <v>3.25</v>
      </c>
      <c r="O169" s="66" t="s">
        <v>30</v>
      </c>
      <c r="P169" s="65">
        <v>11.0</v>
      </c>
      <c r="Q169" s="65"/>
      <c r="R169" s="67">
        <f t="array" ref="R169">INDIRECT("'renta'!G$"&amp;MATCH(O169,renta!$A:$A,0))*P169</f>
        <v>407</v>
      </c>
      <c r="S169" s="68">
        <f t="shared" si="10"/>
        <v>1600.5041</v>
      </c>
      <c r="T169" s="69" t="str">
        <f t="shared" si="4"/>
        <v>SEAWATER</v>
      </c>
      <c r="U169" s="70">
        <f t="shared" si="5"/>
        <v>-5.862209125</v>
      </c>
      <c r="V169" s="71">
        <v>6.15</v>
      </c>
      <c r="W169" s="72">
        <f t="shared" si="6"/>
        <v>-8.90711466</v>
      </c>
      <c r="X169" s="72"/>
      <c r="Y169" s="71">
        <v>3.0</v>
      </c>
      <c r="Z169" s="60">
        <v>0.0625</v>
      </c>
      <c r="AA169" s="85" t="s">
        <v>627</v>
      </c>
      <c r="AB169" s="74" t="s">
        <v>997</v>
      </c>
      <c r="AC169" s="76"/>
      <c r="AD169" s="70"/>
      <c r="AE169" s="76"/>
      <c r="AF169" s="61" t="s">
        <v>806</v>
      </c>
      <c r="AG169" s="61" t="s">
        <v>998</v>
      </c>
      <c r="AH169" s="86">
        <v>5.0</v>
      </c>
      <c r="AI169" s="59">
        <v>0.47</v>
      </c>
    </row>
    <row r="170">
      <c r="A170" s="78" t="s">
        <v>999</v>
      </c>
      <c r="B170" s="38">
        <v>10.0</v>
      </c>
      <c r="C170" s="39">
        <v>0.2604166666666667</v>
      </c>
      <c r="D170" s="40">
        <f t="array" ref="D170">IFERROR(INDIRECT("'renta'!G$"&amp;MATCH(T170,renta!$A:$A,0))*0.975-(G170*INDIRECT("'renta'!G$"&amp;MATCH(F170,renta!$A:$A,0)))/B170-IFERROR((J170*INDIRECT("'renta'!G$"&amp;MATCH(I170,renta!$A:$A,0)))/B170,0),)</f>
        <v>-4.704613516</v>
      </c>
      <c r="E170" s="41">
        <f t="shared" si="1"/>
        <v>-22.13050198</v>
      </c>
      <c r="F170" s="40" t="s">
        <v>14</v>
      </c>
      <c r="G170" s="43">
        <f t="shared" si="2"/>
        <v>73.473</v>
      </c>
      <c r="H170" s="44" t="s">
        <v>1000</v>
      </c>
      <c r="I170" s="79"/>
      <c r="J170" s="79"/>
      <c r="K170" s="79"/>
      <c r="L170" s="38" t="s">
        <v>1001</v>
      </c>
      <c r="M170" s="46">
        <v>6.15</v>
      </c>
      <c r="N170" s="46">
        <v>3.25</v>
      </c>
      <c r="O170" s="42" t="s">
        <v>30</v>
      </c>
      <c r="P170" s="46">
        <v>14.0</v>
      </c>
      <c r="Q170" s="46"/>
      <c r="R170" s="47">
        <f t="array" ref="R170">INDIRECT("'renta'!G$"&amp;MATCH(O170,renta!$A:$A,0))*P170</f>
        <v>518</v>
      </c>
      <c r="S170" s="48">
        <f t="shared" si="10"/>
        <v>2118.5041</v>
      </c>
      <c r="T170" s="49" t="str">
        <f t="shared" si="4"/>
        <v>SEAWATER</v>
      </c>
      <c r="U170" s="50">
        <f t="shared" si="5"/>
        <v>3.337237755</v>
      </c>
      <c r="V170" s="80">
        <v>6.15</v>
      </c>
      <c r="W170" s="52">
        <f t="shared" si="6"/>
        <v>-7.649778075</v>
      </c>
      <c r="X170" s="52"/>
      <c r="Y170" s="80">
        <v>0.0</v>
      </c>
      <c r="Z170" s="39">
        <v>-0.020833333333333332</v>
      </c>
      <c r="AA170" s="53">
        <v>0.08</v>
      </c>
      <c r="AB170" s="82" t="s">
        <v>1002</v>
      </c>
      <c r="AC170" s="83"/>
      <c r="AD170" s="50"/>
      <c r="AE170" s="83"/>
      <c r="AF170" s="40" t="s">
        <v>806</v>
      </c>
      <c r="AG170" s="40" t="s">
        <v>1003</v>
      </c>
      <c r="AH170" s="87">
        <v>5.0</v>
      </c>
      <c r="AI170" s="38">
        <v>0.47</v>
      </c>
    </row>
    <row r="171">
      <c r="A171" s="58" t="s">
        <v>1004</v>
      </c>
      <c r="B171" s="59">
        <v>10.0</v>
      </c>
      <c r="C171" s="60">
        <v>0.24305555555555555</v>
      </c>
      <c r="D171" s="61">
        <f t="array" ref="D171">IFERROR(INDIRECT("'renta'!G$"&amp;MATCH(T171,renta!$A:$A,0))*0.975-(G171*INDIRECT("'renta'!G$"&amp;MATCH(F171,renta!$A:$A,0)))/B171-IFERROR((J171*INDIRECT("'renta'!G$"&amp;MATCH(I171,renta!$A:$A,0)))/B171,0),)</f>
        <v>-4.044724516</v>
      </c>
      <c r="E171" s="41">
        <f t="shared" si="1"/>
        <v>-20.38541156</v>
      </c>
      <c r="F171" s="61" t="s">
        <v>14</v>
      </c>
      <c r="G171" s="62">
        <f t="shared" si="2"/>
        <v>71.3165</v>
      </c>
      <c r="H171" s="63" t="s">
        <v>1005</v>
      </c>
      <c r="I171" s="64"/>
      <c r="J171" s="64"/>
      <c r="K171" s="64"/>
      <c r="L171" s="59" t="s">
        <v>1006</v>
      </c>
      <c r="M171" s="65">
        <v>6.15</v>
      </c>
      <c r="N171" s="65">
        <v>3.25</v>
      </c>
      <c r="O171" s="66" t="s">
        <v>30</v>
      </c>
      <c r="P171" s="65">
        <v>17.0</v>
      </c>
      <c r="Q171" s="65"/>
      <c r="R171" s="67">
        <f t="array" ref="R171">INDIRECT("'renta'!G$"&amp;MATCH(O171,renta!$A:$A,0))*P171</f>
        <v>629</v>
      </c>
      <c r="S171" s="68">
        <f t="shared" si="10"/>
        <v>2747.5041</v>
      </c>
      <c r="T171" s="69" t="str">
        <f t="shared" si="4"/>
        <v>SEAWATER</v>
      </c>
      <c r="U171" s="70">
        <f t="shared" si="5"/>
        <v>2.774388583</v>
      </c>
      <c r="V171" s="71">
        <v>6.15</v>
      </c>
      <c r="W171" s="72">
        <f t="shared" si="6"/>
        <v>-6.576787831</v>
      </c>
      <c r="X171" s="72"/>
      <c r="Y171" s="71">
        <v>0.0</v>
      </c>
      <c r="Z171" s="60">
        <v>-0.017361111111111112</v>
      </c>
      <c r="AA171" s="85" t="s">
        <v>1007</v>
      </c>
      <c r="AB171" s="74" t="s">
        <v>1008</v>
      </c>
      <c r="AC171" s="76"/>
      <c r="AD171" s="70"/>
      <c r="AE171" s="76"/>
      <c r="AF171" s="61" t="s">
        <v>806</v>
      </c>
      <c r="AG171" s="61" t="s">
        <v>1009</v>
      </c>
      <c r="AH171" s="86">
        <v>5.0</v>
      </c>
      <c r="AI171" s="59">
        <v>0.47</v>
      </c>
    </row>
    <row r="172">
      <c r="A172" s="78" t="s">
        <v>1010</v>
      </c>
      <c r="B172" s="38">
        <v>10.0</v>
      </c>
      <c r="C172" s="39">
        <v>0.22916666666666666</v>
      </c>
      <c r="D172" s="40">
        <f t="array" ref="D172">IFERROR(INDIRECT("'renta'!G$"&amp;MATCH(T172,renta!$A:$A,0))*0.975-(G172*INDIRECT("'renta'!G$"&amp;MATCH(F172,renta!$A:$A,0)))/B172-IFERROR((J172*INDIRECT("'renta'!G$"&amp;MATCH(I172,renta!$A:$A,0)))/B172,0),)</f>
        <v>-3.466231516</v>
      </c>
      <c r="E172" s="41">
        <f t="shared" si="1"/>
        <v>-18.52858301</v>
      </c>
      <c r="F172" s="40" t="s">
        <v>14</v>
      </c>
      <c r="G172" s="43">
        <f t="shared" si="2"/>
        <v>69.426</v>
      </c>
      <c r="H172" s="44" t="s">
        <v>1011</v>
      </c>
      <c r="I172" s="79"/>
      <c r="J172" s="79"/>
      <c r="K172" s="79"/>
      <c r="L172" s="38" t="s">
        <v>1012</v>
      </c>
      <c r="M172" s="46">
        <v>6.15</v>
      </c>
      <c r="N172" s="46">
        <v>3.25</v>
      </c>
      <c r="O172" s="42" t="s">
        <v>30</v>
      </c>
      <c r="P172" s="46">
        <v>20.0</v>
      </c>
      <c r="Q172" s="46"/>
      <c r="R172" s="47">
        <f t="array" ref="R172">INDIRECT("'renta'!G$"&amp;MATCH(O172,renta!$A:$A,0))*P172</f>
        <v>740</v>
      </c>
      <c r="S172" s="48">
        <f t="shared" si="10"/>
        <v>3487.5041</v>
      </c>
      <c r="T172" s="49" t="str">
        <f t="shared" si="4"/>
        <v>SEAWATER</v>
      </c>
      <c r="U172" s="50">
        <f t="shared" si="5"/>
        <v>2.509227767</v>
      </c>
      <c r="V172" s="80">
        <v>6.15</v>
      </c>
      <c r="W172" s="52">
        <f t="shared" si="6"/>
        <v>-5.636148807</v>
      </c>
      <c r="X172" s="52"/>
      <c r="Y172" s="80">
        <v>0.0</v>
      </c>
      <c r="Z172" s="39">
        <v>-0.013888888888888888</v>
      </c>
      <c r="AA172" s="81" t="s">
        <v>1013</v>
      </c>
      <c r="AB172" s="82" t="s">
        <v>1014</v>
      </c>
      <c r="AC172" s="83"/>
      <c r="AD172" s="50"/>
      <c r="AE172" s="83"/>
      <c r="AF172" s="40" t="s">
        <v>806</v>
      </c>
      <c r="AG172" s="40" t="s">
        <v>1015</v>
      </c>
      <c r="AH172" s="87">
        <v>5.0</v>
      </c>
      <c r="AI172" s="38">
        <v>0.47</v>
      </c>
    </row>
    <row r="173">
      <c r="A173" s="58" t="s">
        <v>1016</v>
      </c>
      <c r="B173" s="59">
        <v>10.0</v>
      </c>
      <c r="C173" s="60">
        <v>0.21875</v>
      </c>
      <c r="D173" s="61">
        <f t="array" ref="D173">IFERROR(INDIRECT("'renta'!G$"&amp;MATCH(T173,renta!$A:$A,0))*0.975-(G173*INDIRECT("'renta'!G$"&amp;MATCH(F173,renta!$A:$A,0)))/B173-IFERROR((J173*INDIRECT("'renta'!G$"&amp;MATCH(I173,renta!$A:$A,0)))/B173,0),)</f>
        <v>-2.960413516</v>
      </c>
      <c r="E173" s="41">
        <f t="shared" si="1"/>
        <v>-16.57831569</v>
      </c>
      <c r="F173" s="61" t="s">
        <v>14</v>
      </c>
      <c r="G173" s="62">
        <f t="shared" si="2"/>
        <v>67.773</v>
      </c>
      <c r="H173" s="63" t="s">
        <v>1017</v>
      </c>
      <c r="I173" s="64"/>
      <c r="J173" s="64"/>
      <c r="K173" s="64"/>
      <c r="L173" s="59" t="s">
        <v>1018</v>
      </c>
      <c r="M173" s="65">
        <v>6.15</v>
      </c>
      <c r="N173" s="65">
        <v>3.25</v>
      </c>
      <c r="O173" s="66" t="s">
        <v>30</v>
      </c>
      <c r="P173" s="65">
        <v>24.0</v>
      </c>
      <c r="Q173" s="65"/>
      <c r="R173" s="67">
        <f t="array" ref="R173">INDIRECT("'renta'!G$"&amp;MATCH(O173,renta!$A:$A,0))*P173</f>
        <v>888</v>
      </c>
      <c r="S173" s="68">
        <f t="shared" si="10"/>
        <v>4375.5041</v>
      </c>
      <c r="T173" s="69" t="str">
        <f t="shared" si="4"/>
        <v>SEAWATER</v>
      </c>
      <c r="U173" s="70">
        <f t="shared" si="5"/>
        <v>2.196246986</v>
      </c>
      <c r="V173" s="71">
        <v>6.15</v>
      </c>
      <c r="W173" s="72">
        <f t="shared" si="6"/>
        <v>-4.813680514</v>
      </c>
      <c r="X173" s="72"/>
      <c r="Y173" s="71">
        <v>0.0</v>
      </c>
      <c r="Z173" s="60">
        <v>-0.010416666666666666</v>
      </c>
      <c r="AA173" s="85" t="s">
        <v>1019</v>
      </c>
      <c r="AB173" s="74" t="s">
        <v>1020</v>
      </c>
      <c r="AC173" s="76"/>
      <c r="AD173" s="70"/>
      <c r="AE173" s="76"/>
      <c r="AF173" s="61" t="s">
        <v>806</v>
      </c>
      <c r="AG173" s="61" t="s">
        <v>1021</v>
      </c>
      <c r="AH173" s="86">
        <v>5.0</v>
      </c>
      <c r="AI173" s="59">
        <v>0.47</v>
      </c>
    </row>
    <row r="174">
      <c r="A174" s="78" t="s">
        <v>1022</v>
      </c>
      <c r="B174" s="38">
        <v>10.0</v>
      </c>
      <c r="C174" s="39">
        <v>0.20833333333333334</v>
      </c>
      <c r="D174" s="40">
        <f t="array" ref="D174">IFERROR(INDIRECT("'renta'!G$"&amp;MATCH(T174,renta!$A:$A,0))*0.975-(G174*INDIRECT("'renta'!G$"&amp;MATCH(F174,renta!$A:$A,0)))/B174-IFERROR((J174*INDIRECT("'renta'!G$"&amp;MATCH(I174,renta!$A:$A,0)))/B174,0),)</f>
        <v>-2.509828516</v>
      </c>
      <c r="E174" s="41">
        <f t="shared" si="1"/>
        <v>-14.75779167</v>
      </c>
      <c r="F174" s="40" t="s">
        <v>14</v>
      </c>
      <c r="G174" s="43">
        <f t="shared" si="2"/>
        <v>66.3005</v>
      </c>
      <c r="H174" s="44" t="s">
        <v>1023</v>
      </c>
      <c r="I174" s="79"/>
      <c r="J174" s="79"/>
      <c r="K174" s="79"/>
      <c r="L174" s="38" t="s">
        <v>1024</v>
      </c>
      <c r="M174" s="46">
        <v>6.15</v>
      </c>
      <c r="N174" s="46">
        <v>3.25</v>
      </c>
      <c r="O174" s="42" t="s">
        <v>30</v>
      </c>
      <c r="P174" s="46">
        <v>29.0</v>
      </c>
      <c r="Q174" s="46"/>
      <c r="R174" s="47">
        <f t="array" ref="R174">INDIRECT("'renta'!G$"&amp;MATCH(O174,renta!$A:$A,0))*P174</f>
        <v>1073</v>
      </c>
      <c r="S174" s="48">
        <f t="shared" si="10"/>
        <v>5448.5041</v>
      </c>
      <c r="T174" s="49" t="str">
        <f t="shared" si="4"/>
        <v>SEAWATER</v>
      </c>
      <c r="U174" s="50">
        <f t="shared" si="5"/>
        <v>1.696667302</v>
      </c>
      <c r="V174" s="80">
        <v>6.15</v>
      </c>
      <c r="W174" s="52">
        <f t="shared" si="6"/>
        <v>-4.081021977</v>
      </c>
      <c r="X174" s="52"/>
      <c r="Y174" s="80">
        <v>0.0</v>
      </c>
      <c r="Z174" s="39">
        <v>-0.010416666666666666</v>
      </c>
      <c r="AA174" s="53">
        <v>0.05</v>
      </c>
      <c r="AB174" s="82" t="s">
        <v>1025</v>
      </c>
      <c r="AC174" s="83"/>
      <c r="AD174" s="50"/>
      <c r="AE174" s="83"/>
      <c r="AF174" s="40" t="s">
        <v>806</v>
      </c>
      <c r="AG174" s="40" t="s">
        <v>1026</v>
      </c>
      <c r="AH174" s="87">
        <v>5.0</v>
      </c>
      <c r="AI174" s="38">
        <v>0.47</v>
      </c>
    </row>
    <row r="175">
      <c r="A175" s="58" t="s">
        <v>1027</v>
      </c>
      <c r="B175" s="59">
        <v>10.0</v>
      </c>
      <c r="C175" s="60">
        <v>0.19791666666666666</v>
      </c>
      <c r="D175" s="61">
        <f t="array" ref="D175">IFERROR(INDIRECT("'renta'!G$"&amp;MATCH(T175,renta!$A:$A,0))*0.975-(G175*INDIRECT("'renta'!G$"&amp;MATCH(F175,renta!$A:$A,0)))/B175-IFERROR((J175*INDIRECT("'renta'!G$"&amp;MATCH(I175,renta!$A:$A,0)))/B175,0),)</f>
        <v>-2.108662516</v>
      </c>
      <c r="E175" s="41">
        <f t="shared" si="1"/>
        <v>-13.05151115</v>
      </c>
      <c r="F175" s="61" t="s">
        <v>14</v>
      </c>
      <c r="G175" s="62">
        <f t="shared" si="2"/>
        <v>64.9895</v>
      </c>
      <c r="H175" s="63" t="s">
        <v>1028</v>
      </c>
      <c r="I175" s="64"/>
      <c r="J175" s="64"/>
      <c r="K175" s="64"/>
      <c r="L175" s="59" t="s">
        <v>1029</v>
      </c>
      <c r="M175" s="65">
        <v>6.15</v>
      </c>
      <c r="N175" s="65">
        <v>3.25</v>
      </c>
      <c r="O175" s="66" t="s">
        <v>30</v>
      </c>
      <c r="P175" s="65">
        <v>35.0</v>
      </c>
      <c r="Q175" s="65"/>
      <c r="R175" s="67">
        <f t="array" ref="R175">INDIRECT("'renta'!G$"&amp;MATCH(O175,renta!$A:$A,0))*P175</f>
        <v>1295</v>
      </c>
      <c r="S175" s="68">
        <f t="shared" si="10"/>
        <v>6743.5041</v>
      </c>
      <c r="T175" s="69" t="str">
        <f t="shared" si="4"/>
        <v>SEAWATER</v>
      </c>
      <c r="U175" s="70">
        <f t="shared" si="5"/>
        <v>1.317591137</v>
      </c>
      <c r="V175" s="71">
        <v>6.15</v>
      </c>
      <c r="W175" s="72">
        <f t="shared" si="6"/>
        <v>-3.428719538</v>
      </c>
      <c r="X175" s="72"/>
      <c r="Y175" s="71">
        <v>0.0</v>
      </c>
      <c r="Z175" s="60">
        <v>-0.010416666666666666</v>
      </c>
      <c r="AA175" s="85" t="s">
        <v>1030</v>
      </c>
      <c r="AB175" s="74" t="s">
        <v>1031</v>
      </c>
      <c r="AC175" s="76"/>
      <c r="AD175" s="70"/>
      <c r="AE175" s="76"/>
      <c r="AF175" s="61" t="s">
        <v>806</v>
      </c>
      <c r="AG175" s="61" t="s">
        <v>1032</v>
      </c>
      <c r="AH175" s="86">
        <v>5.0</v>
      </c>
      <c r="AI175" s="59">
        <v>0.47</v>
      </c>
    </row>
    <row r="176">
      <c r="A176" s="78" t="s">
        <v>1033</v>
      </c>
      <c r="B176" s="38">
        <v>10.0</v>
      </c>
      <c r="C176" s="39">
        <v>0.1909722222222222</v>
      </c>
      <c r="D176" s="40">
        <f t="array" ref="D176">IFERROR(INDIRECT("'renta'!G$"&amp;MATCH(T176,renta!$A:$A,0))*0.975-(G176*INDIRECT("'renta'!G$"&amp;MATCH(F176,renta!$A:$A,0)))/B176-IFERROR((J176*INDIRECT("'renta'!G$"&amp;MATCH(I176,renta!$A:$A,0)))/B176,0),)</f>
        <v>-1.742380516</v>
      </c>
      <c r="E176" s="41">
        <f t="shared" si="1"/>
        <v>-11.17657902</v>
      </c>
      <c r="F176" s="40" t="s">
        <v>14</v>
      </c>
      <c r="G176" s="43">
        <f t="shared" si="2"/>
        <v>63.7925</v>
      </c>
      <c r="H176" s="44" t="s">
        <v>1034</v>
      </c>
      <c r="I176" s="79"/>
      <c r="J176" s="79"/>
      <c r="K176" s="79"/>
      <c r="L176" s="38" t="s">
        <v>1035</v>
      </c>
      <c r="M176" s="46">
        <v>6.15</v>
      </c>
      <c r="N176" s="46">
        <v>3.25</v>
      </c>
      <c r="O176" s="42" t="s">
        <v>30</v>
      </c>
      <c r="P176" s="46">
        <v>42.0</v>
      </c>
      <c r="Q176" s="46">
        <v>213.0</v>
      </c>
      <c r="R176" s="47">
        <f t="array" ref="R176">INDIRECT("'renta'!G$"&amp;MATCH(O176,renta!$A:$A,0))*P176</f>
        <v>1554</v>
      </c>
      <c r="S176" s="48">
        <f t="shared" si="10"/>
        <v>8297.5041</v>
      </c>
      <c r="T176" s="49" t="str">
        <f t="shared" si="4"/>
        <v>SEAWATER</v>
      </c>
      <c r="U176" s="50">
        <f t="shared" si="5"/>
        <v>1.206520034</v>
      </c>
      <c r="V176" s="80">
        <v>6.15</v>
      </c>
      <c r="W176" s="52">
        <f t="shared" si="6"/>
        <v>-2.833139051</v>
      </c>
      <c r="X176" s="52"/>
      <c r="Y176" s="80">
        <v>0.0</v>
      </c>
      <c r="Z176" s="39">
        <v>-0.006944444444444444</v>
      </c>
      <c r="AA176" s="81" t="s">
        <v>1036</v>
      </c>
      <c r="AB176" s="82" t="s">
        <v>1037</v>
      </c>
      <c r="AC176" s="83"/>
      <c r="AD176" s="50"/>
      <c r="AE176" s="83"/>
      <c r="AF176" s="40" t="s">
        <v>806</v>
      </c>
      <c r="AG176" s="40" t="s">
        <v>1038</v>
      </c>
      <c r="AH176" s="87">
        <v>5.0</v>
      </c>
      <c r="AI176" s="38">
        <v>0.47</v>
      </c>
    </row>
    <row r="177">
      <c r="A177" s="58" t="s">
        <v>1039</v>
      </c>
      <c r="B177" s="59">
        <v>10.0</v>
      </c>
      <c r="C177" s="60">
        <v>0.1840277777777778</v>
      </c>
      <c r="D177" s="61">
        <f t="array" ref="D177">IFERROR(INDIRECT("'renta'!G$"&amp;MATCH(T177,renta!$A:$A,0))*0.975-(G177*INDIRECT("'renta'!G$"&amp;MATCH(F177,renta!$A:$A,0)))/B177-IFERROR((J177*INDIRECT("'renta'!G$"&amp;MATCH(I177,renta!$A:$A,0)))/B177,0),)</f>
        <v>-1.410982516</v>
      </c>
      <c r="E177" s="41">
        <f t="shared" si="1"/>
        <v>-9.392351541</v>
      </c>
      <c r="F177" s="61" t="s">
        <v>14</v>
      </c>
      <c r="G177" s="62">
        <f t="shared" si="2"/>
        <v>62.7095</v>
      </c>
      <c r="H177" s="63" t="s">
        <v>1040</v>
      </c>
      <c r="I177" s="64"/>
      <c r="J177" s="64"/>
      <c r="K177" s="64"/>
      <c r="L177" s="59" t="s">
        <v>1041</v>
      </c>
      <c r="M177" s="65">
        <v>6.15</v>
      </c>
      <c r="N177" s="65">
        <v>3.25</v>
      </c>
      <c r="O177" s="66" t="s">
        <v>34</v>
      </c>
      <c r="P177" s="65">
        <v>17.0</v>
      </c>
      <c r="Q177" s="105">
        <f t="shared" ref="Q177:Q190" si="11">SUM(P$177:P177)</f>
        <v>17</v>
      </c>
      <c r="R177" s="67">
        <f t="array" ref="R177">INDIRECT("'renta'!G$"&amp;MATCH(O177,renta!$A:$A,0))*P177</f>
        <v>2255.596601</v>
      </c>
      <c r="S177" s="68">
        <f t="shared" si="10"/>
        <v>10553.1007</v>
      </c>
      <c r="T177" s="69" t="str">
        <f t="shared" si="4"/>
        <v>SEAWATER</v>
      </c>
      <c r="U177" s="70">
        <f t="shared" si="5"/>
        <v>0.7910224184</v>
      </c>
      <c r="V177" s="71">
        <v>6.15</v>
      </c>
      <c r="W177" s="72">
        <f t="shared" si="6"/>
        <v>-2.294280514</v>
      </c>
      <c r="X177" s="72"/>
      <c r="Y177" s="71">
        <v>0.0</v>
      </c>
      <c r="Z177" s="60">
        <v>-0.006944444444444444</v>
      </c>
      <c r="AA177" s="85" t="s">
        <v>1042</v>
      </c>
      <c r="AB177" s="74" t="s">
        <v>1043</v>
      </c>
      <c r="AC177" s="76"/>
      <c r="AD177" s="70"/>
      <c r="AE177" s="76"/>
      <c r="AF177" s="61" t="s">
        <v>806</v>
      </c>
      <c r="AG177" s="61" t="s">
        <v>1044</v>
      </c>
      <c r="AH177" s="86">
        <v>5.0</v>
      </c>
      <c r="AI177" s="59">
        <v>0.47</v>
      </c>
    </row>
    <row r="178">
      <c r="A178" s="78" t="s">
        <v>1045</v>
      </c>
      <c r="B178" s="38">
        <v>10.0</v>
      </c>
      <c r="C178" s="39">
        <v>0.17708333333333334</v>
      </c>
      <c r="D178" s="40">
        <f t="array" ref="D178">IFERROR(INDIRECT("'renta'!G$"&amp;MATCH(T178,renta!$A:$A,0))*0.975-(G178*INDIRECT("'renta'!G$"&amp;MATCH(F178,renta!$A:$A,0)))/B178-IFERROR((J178*INDIRECT("'renta'!G$"&amp;MATCH(I178,renta!$A:$A,0)))/B178,0),)</f>
        <v>-1.105747516</v>
      </c>
      <c r="E178" s="41">
        <f t="shared" si="1"/>
        <v>-7.649171053</v>
      </c>
      <c r="F178" s="40" t="s">
        <v>14</v>
      </c>
      <c r="G178" s="43">
        <f t="shared" si="2"/>
        <v>61.712</v>
      </c>
      <c r="H178" s="44" t="s">
        <v>1046</v>
      </c>
      <c r="I178" s="79"/>
      <c r="J178" s="79"/>
      <c r="K178" s="79"/>
      <c r="L178" s="38" t="s">
        <v>1047</v>
      </c>
      <c r="M178" s="46">
        <v>6.15</v>
      </c>
      <c r="N178" s="46">
        <v>3.25</v>
      </c>
      <c r="O178" s="42" t="s">
        <v>34</v>
      </c>
      <c r="P178" s="46">
        <v>20.0</v>
      </c>
      <c r="Q178" s="106">
        <f t="shared" si="11"/>
        <v>37</v>
      </c>
      <c r="R178" s="47">
        <f t="array" ref="R178">INDIRECT("'renta'!G$"&amp;MATCH(O178,renta!$A:$A,0))*P178</f>
        <v>2653.64306</v>
      </c>
      <c r="S178" s="48">
        <f t="shared" si="10"/>
        <v>13206.74376</v>
      </c>
      <c r="T178" s="49" t="str">
        <f t="shared" si="4"/>
        <v>SEAWATER</v>
      </c>
      <c r="U178" s="50">
        <f t="shared" si="5"/>
        <v>0.6569008902</v>
      </c>
      <c r="V178" s="80">
        <v>6.15</v>
      </c>
      <c r="W178" s="52">
        <f t="shared" si="6"/>
        <v>-1.797963441</v>
      </c>
      <c r="X178" s="52"/>
      <c r="Y178" s="80">
        <v>0.0</v>
      </c>
      <c r="Z178" s="39">
        <v>-0.006944444444444444</v>
      </c>
      <c r="AA178" s="81" t="s">
        <v>1048</v>
      </c>
      <c r="AB178" s="82" t="s">
        <v>1049</v>
      </c>
      <c r="AC178" s="83"/>
      <c r="AD178" s="50"/>
      <c r="AE178" s="83"/>
      <c r="AF178" s="40" t="s">
        <v>806</v>
      </c>
      <c r="AG178" s="40" t="s">
        <v>1050</v>
      </c>
      <c r="AH178" s="87">
        <v>5.0</v>
      </c>
      <c r="AI178" s="38">
        <v>0.47</v>
      </c>
    </row>
    <row r="179">
      <c r="A179" s="58" t="s">
        <v>1051</v>
      </c>
      <c r="B179" s="59">
        <v>10.0</v>
      </c>
      <c r="C179" s="60">
        <v>0.16666666666666666</v>
      </c>
      <c r="D179" s="61">
        <f t="array" ref="D179">IFERROR(INDIRECT("'renta'!G$"&amp;MATCH(T179,renta!$A:$A,0))*0.975-(G179*INDIRECT("'renta'!G$"&amp;MATCH(F179,renta!$A:$A,0)))/B179-IFERROR((J179*INDIRECT("'renta'!G$"&amp;MATCH(I179,renta!$A:$A,0)))/B179,0),)</f>
        <v>-0.8266755161</v>
      </c>
      <c r="E179" s="41">
        <f t="shared" si="1"/>
        <v>-6.076065044</v>
      </c>
      <c r="F179" s="61" t="s">
        <v>14</v>
      </c>
      <c r="G179" s="62">
        <f t="shared" si="2"/>
        <v>60.8</v>
      </c>
      <c r="H179" s="63" t="s">
        <v>1052</v>
      </c>
      <c r="I179" s="64"/>
      <c r="J179" s="64"/>
      <c r="K179" s="64"/>
      <c r="L179" s="59" t="s">
        <v>1053</v>
      </c>
      <c r="M179" s="65">
        <v>6.15</v>
      </c>
      <c r="N179" s="65">
        <v>3.25</v>
      </c>
      <c r="O179" s="66" t="s">
        <v>34</v>
      </c>
      <c r="P179" s="65">
        <v>24.0</v>
      </c>
      <c r="Q179" s="105">
        <f t="shared" si="11"/>
        <v>61</v>
      </c>
      <c r="R179" s="67">
        <f t="array" ref="R179">INDIRECT("'renta'!G$"&amp;MATCH(O179,renta!$A:$A,0))*P179</f>
        <v>3184.371672</v>
      </c>
      <c r="S179" s="68">
        <f t="shared" si="10"/>
        <v>16391.11543</v>
      </c>
      <c r="T179" s="69" t="str">
        <f t="shared" si="4"/>
        <v>SEAWATER</v>
      </c>
      <c r="U179" s="70">
        <f t="shared" si="5"/>
        <v>0.4940082915</v>
      </c>
      <c r="V179" s="71">
        <v>6.15</v>
      </c>
      <c r="W179" s="72">
        <f t="shared" si="6"/>
        <v>-1.344187831</v>
      </c>
      <c r="X179" s="72"/>
      <c r="Y179" s="71">
        <v>0.0</v>
      </c>
      <c r="Z179" s="60">
        <v>-0.010416666666666666</v>
      </c>
      <c r="AA179" s="85" t="s">
        <v>1054</v>
      </c>
      <c r="AB179" s="74" t="s">
        <v>1055</v>
      </c>
      <c r="AC179" s="76"/>
      <c r="AD179" s="70"/>
      <c r="AE179" s="76"/>
      <c r="AF179" s="61" t="s">
        <v>806</v>
      </c>
      <c r="AG179" s="61" t="s">
        <v>1056</v>
      </c>
      <c r="AH179" s="86">
        <v>5.0</v>
      </c>
      <c r="AI179" s="59">
        <v>0.47</v>
      </c>
    </row>
    <row r="180">
      <c r="A180" s="78" t="s">
        <v>1057</v>
      </c>
      <c r="B180" s="38">
        <v>13.0</v>
      </c>
      <c r="C180" s="39">
        <v>0.20833333333333334</v>
      </c>
      <c r="D180" s="40">
        <f t="array" ref="D180">IFERROR(INDIRECT("'renta'!G$"&amp;MATCH(T180,renta!$A:$A,0))*0.975-(G180*INDIRECT("'renta'!G$"&amp;MATCH(F180,renta!$A:$A,0)))/B180-IFERROR((J180*INDIRECT("'renta'!G$"&amp;MATCH(I180,renta!$A:$A,0)))/B180,0),)</f>
        <v>-0.8266755161</v>
      </c>
      <c r="E180" s="41">
        <f t="shared" si="1"/>
        <v>-6.319107645</v>
      </c>
      <c r="F180" s="40" t="s">
        <v>14</v>
      </c>
      <c r="G180" s="43">
        <f t="shared" si="2"/>
        <v>79.04</v>
      </c>
      <c r="H180" s="44" t="s">
        <v>1058</v>
      </c>
      <c r="I180" s="79"/>
      <c r="J180" s="79"/>
      <c r="K180" s="79"/>
      <c r="L180" s="38" t="s">
        <v>1053</v>
      </c>
      <c r="M180" s="46">
        <v>7.956</v>
      </c>
      <c r="N180" s="46">
        <v>3.25</v>
      </c>
      <c r="O180" s="42" t="s">
        <v>34</v>
      </c>
      <c r="P180" s="46">
        <v>28.0</v>
      </c>
      <c r="Q180" s="106">
        <f t="shared" si="11"/>
        <v>89</v>
      </c>
      <c r="R180" s="47">
        <f t="array" ref="R180">INDIRECT("'renta'!G$"&amp;MATCH(O180,renta!$A:$A,0))*P180</f>
        <v>3715.100284</v>
      </c>
      <c r="S180" s="48">
        <f t="shared" si="10"/>
        <v>20106.21572</v>
      </c>
      <c r="T180" s="49" t="str">
        <f t="shared" si="4"/>
        <v>SEAWATER</v>
      </c>
      <c r="U180" s="50">
        <f t="shared" si="5"/>
        <v>-0.06542019949</v>
      </c>
      <c r="V180" s="80"/>
      <c r="W180" s="52" t="str">
        <f t="shared" si="6"/>
        <v/>
      </c>
      <c r="X180" s="52"/>
      <c r="Y180" s="80">
        <v>3.0</v>
      </c>
      <c r="Z180" s="39">
        <v>0.041666666666666664</v>
      </c>
      <c r="AA180" s="53">
        <v>0.04</v>
      </c>
      <c r="AB180" s="82" t="s">
        <v>1059</v>
      </c>
      <c r="AC180" s="83"/>
      <c r="AD180" s="50"/>
      <c r="AE180" s="83"/>
      <c r="AF180" s="40" t="s">
        <v>806</v>
      </c>
      <c r="AG180" s="40" t="s">
        <v>1060</v>
      </c>
      <c r="AH180" s="87">
        <v>5.0</v>
      </c>
      <c r="AI180" s="38">
        <v>0.47</v>
      </c>
    </row>
    <row r="181">
      <c r="A181" s="58" t="s">
        <v>1061</v>
      </c>
      <c r="B181" s="59">
        <v>17.0</v>
      </c>
      <c r="C181" s="60">
        <v>0.25833333333333336</v>
      </c>
      <c r="D181" s="61">
        <f t="array" ref="D181">IFERROR(INDIRECT("'renta'!G$"&amp;MATCH(T181,renta!$A:$A,0))*0.975-(G181*INDIRECT("'renta'!G$"&amp;MATCH(F181,renta!$A:$A,0)))/B181-IFERROR((J181*INDIRECT("'renta'!G$"&amp;MATCH(I181,renta!$A:$A,0)))/B181,0),)</f>
        <v>-0.8266755161</v>
      </c>
      <c r="E181" s="41">
        <f t="shared" si="1"/>
        <v>-6.664071338</v>
      </c>
      <c r="F181" s="61" t="s">
        <v>14</v>
      </c>
      <c r="G181" s="62">
        <f t="shared" si="2"/>
        <v>103.36</v>
      </c>
      <c r="H181" s="63" t="s">
        <v>1062</v>
      </c>
      <c r="I181" s="64"/>
      <c r="J181" s="64"/>
      <c r="K181" s="64"/>
      <c r="L181" s="59" t="s">
        <v>1053</v>
      </c>
      <c r="M181" s="65">
        <v>10.37</v>
      </c>
      <c r="N181" s="65">
        <v>3.25</v>
      </c>
      <c r="O181" s="66" t="s">
        <v>34</v>
      </c>
      <c r="P181" s="65">
        <v>33.0</v>
      </c>
      <c r="Q181" s="105">
        <f t="shared" si="11"/>
        <v>122</v>
      </c>
      <c r="R181" s="67">
        <f t="array" ref="R181">INDIRECT("'renta'!G$"&amp;MATCH(O181,renta!$A:$A,0))*P181</f>
        <v>4378.511049</v>
      </c>
      <c r="S181" s="68">
        <f t="shared" si="10"/>
        <v>24484.72677</v>
      </c>
      <c r="T181" s="69" t="str">
        <f t="shared" si="4"/>
        <v>SEAWATER</v>
      </c>
      <c r="U181" s="70">
        <f t="shared" si="5"/>
        <v>-0.0787856166</v>
      </c>
      <c r="V181" s="71"/>
      <c r="W181" s="72" t="str">
        <f t="shared" si="6"/>
        <v/>
      </c>
      <c r="X181" s="72"/>
      <c r="Y181" s="71">
        <v>4.0</v>
      </c>
      <c r="Z181" s="60">
        <v>0.05</v>
      </c>
      <c r="AA181" s="85" t="s">
        <v>1063</v>
      </c>
      <c r="AB181" s="74" t="s">
        <v>1064</v>
      </c>
      <c r="AC181" s="76"/>
      <c r="AD181" s="70"/>
      <c r="AE181" s="76"/>
      <c r="AF181" s="61" t="s">
        <v>806</v>
      </c>
      <c r="AG181" s="61" t="s">
        <v>1065</v>
      </c>
      <c r="AH181" s="86">
        <v>5.0</v>
      </c>
      <c r="AI181" s="59">
        <v>0.47</v>
      </c>
    </row>
    <row r="182">
      <c r="A182" s="78" t="s">
        <v>1066</v>
      </c>
      <c r="B182" s="38">
        <v>22.0</v>
      </c>
      <c r="C182" s="39">
        <v>0.3194444444444444</v>
      </c>
      <c r="D182" s="40">
        <f t="array" ref="D182">IFERROR(INDIRECT("'renta'!G$"&amp;MATCH(T182,renta!$A:$A,0))*0.975-(G182*INDIRECT("'renta'!G$"&amp;MATCH(F182,renta!$A:$A,0)))/B182-IFERROR((J182*INDIRECT("'renta'!G$"&amp;MATCH(I182,renta!$A:$A,0)))/B182,0),)</f>
        <v>-0.8266755161</v>
      </c>
      <c r="E182" s="41">
        <f t="shared" si="1"/>
        <v>-6.974265963</v>
      </c>
      <c r="F182" s="40" t="s">
        <v>14</v>
      </c>
      <c r="G182" s="43">
        <f t="shared" si="2"/>
        <v>133.76</v>
      </c>
      <c r="H182" s="44" t="s">
        <v>1067</v>
      </c>
      <c r="I182" s="79"/>
      <c r="J182" s="79"/>
      <c r="K182" s="79"/>
      <c r="L182" s="38" t="s">
        <v>1053</v>
      </c>
      <c r="M182" s="46">
        <v>13.376</v>
      </c>
      <c r="N182" s="46">
        <v>3.25</v>
      </c>
      <c r="O182" s="42" t="s">
        <v>34</v>
      </c>
      <c r="P182" s="46">
        <v>39.0</v>
      </c>
      <c r="Q182" s="106">
        <f t="shared" si="11"/>
        <v>161</v>
      </c>
      <c r="R182" s="47">
        <f t="array" ref="R182">INDIRECT("'renta'!G$"&amp;MATCH(O182,renta!$A:$A,0))*P182</f>
        <v>5174.603967</v>
      </c>
      <c r="S182" s="48">
        <f t="shared" si="10"/>
        <v>29659.33073</v>
      </c>
      <c r="T182" s="49" t="str">
        <f t="shared" si="4"/>
        <v>SEAWATER</v>
      </c>
      <c r="U182" s="50">
        <f t="shared" si="5"/>
        <v>-0.05994557784</v>
      </c>
      <c r="V182" s="80"/>
      <c r="W182" s="52" t="str">
        <f t="shared" si="6"/>
        <v/>
      </c>
      <c r="X182" s="52"/>
      <c r="Y182" s="80">
        <v>5.0</v>
      </c>
      <c r="Z182" s="39">
        <v>0.06111111111111111</v>
      </c>
      <c r="AA182" s="81" t="s">
        <v>1068</v>
      </c>
      <c r="AB182" s="82" t="s">
        <v>1069</v>
      </c>
      <c r="AC182" s="83"/>
      <c r="AD182" s="50"/>
      <c r="AE182" s="83"/>
      <c r="AF182" s="40" t="s">
        <v>806</v>
      </c>
      <c r="AG182" s="40" t="s">
        <v>1070</v>
      </c>
      <c r="AH182" s="87">
        <v>5.0</v>
      </c>
      <c r="AI182" s="38">
        <v>0.47</v>
      </c>
    </row>
    <row r="183">
      <c r="A183" s="58" t="s">
        <v>1071</v>
      </c>
      <c r="B183" s="59">
        <v>26.0</v>
      </c>
      <c r="C183" s="60">
        <v>0.3625</v>
      </c>
      <c r="D183" s="61">
        <f t="array" ref="D183">IFERROR(INDIRECT("'renta'!G$"&amp;MATCH(T183,renta!$A:$A,0))*0.975-(G183*INDIRECT("'renta'!G$"&amp;MATCH(F183,renta!$A:$A,0)))/B183-IFERROR((J183*INDIRECT("'renta'!G$"&amp;MATCH(I183,renta!$A:$A,0)))/B183,0),)</f>
        <v>-0.8266755161</v>
      </c>
      <c r="E183" s="41">
        <f t="shared" si="1"/>
        <v>-7.263342121</v>
      </c>
      <c r="F183" s="61" t="s">
        <v>14</v>
      </c>
      <c r="G183" s="62">
        <f t="shared" si="2"/>
        <v>158.08</v>
      </c>
      <c r="H183" s="63" t="s">
        <v>1072</v>
      </c>
      <c r="I183" s="64"/>
      <c r="J183" s="64"/>
      <c r="K183" s="64"/>
      <c r="L183" s="59" t="s">
        <v>1053</v>
      </c>
      <c r="M183" s="65">
        <v>15.73</v>
      </c>
      <c r="N183" s="65">
        <v>3.25</v>
      </c>
      <c r="O183" s="66" t="s">
        <v>34</v>
      </c>
      <c r="P183" s="65">
        <v>47.0</v>
      </c>
      <c r="Q183" s="105">
        <f t="shared" si="11"/>
        <v>208</v>
      </c>
      <c r="R183" s="67">
        <f t="array" ref="R183">INDIRECT("'renta'!G$"&amp;MATCH(O183,renta!$A:$A,0))*P183</f>
        <v>6236.061192</v>
      </c>
      <c r="S183" s="68">
        <f t="shared" si="10"/>
        <v>35895.39193</v>
      </c>
      <c r="T183" s="69" t="str">
        <f t="shared" si="4"/>
        <v>SEAWATER</v>
      </c>
      <c r="U183" s="70">
        <f t="shared" si="5"/>
        <v>-0.0463555679</v>
      </c>
      <c r="V183" s="71"/>
      <c r="W183" s="72" t="str">
        <f t="shared" si="6"/>
        <v/>
      </c>
      <c r="X183" s="72"/>
      <c r="Y183" s="71">
        <v>4.0</v>
      </c>
      <c r="Z183" s="60">
        <v>0.043055555555555555</v>
      </c>
      <c r="AA183" s="85" t="s">
        <v>1073</v>
      </c>
      <c r="AB183" s="74" t="s">
        <v>1074</v>
      </c>
      <c r="AC183" s="76"/>
      <c r="AD183" s="70"/>
      <c r="AE183" s="76"/>
      <c r="AF183" s="61" t="s">
        <v>806</v>
      </c>
      <c r="AG183" s="61" t="s">
        <v>1075</v>
      </c>
      <c r="AH183" s="86">
        <v>5.0</v>
      </c>
      <c r="AI183" s="59">
        <v>0.47</v>
      </c>
    </row>
    <row r="184">
      <c r="A184" s="78" t="s">
        <v>1076</v>
      </c>
      <c r="B184" s="38">
        <v>29.0</v>
      </c>
      <c r="C184" s="39">
        <v>0.3888888888888889</v>
      </c>
      <c r="D184" s="40">
        <f t="array" ref="D184">IFERROR(INDIRECT("'renta'!G$"&amp;MATCH(T184,renta!$A:$A,0))*0.975-(G184*INDIRECT("'renta'!G$"&amp;MATCH(F184,renta!$A:$A,0)))/B184-IFERROR((J184*INDIRECT("'renta'!G$"&amp;MATCH(I184,renta!$A:$A,0)))/B184,0),)</f>
        <v>-0.8266755161</v>
      </c>
      <c r="E184" s="41">
        <f t="shared" si="1"/>
        <v>-7.55168084</v>
      </c>
      <c r="F184" s="40" t="s">
        <v>14</v>
      </c>
      <c r="G184" s="43">
        <f t="shared" si="2"/>
        <v>176.32</v>
      </c>
      <c r="H184" s="44" t="s">
        <v>1077</v>
      </c>
      <c r="I184" s="79"/>
      <c r="J184" s="79"/>
      <c r="K184" s="79"/>
      <c r="L184" s="38" t="s">
        <v>1053</v>
      </c>
      <c r="M184" s="46">
        <v>17.458</v>
      </c>
      <c r="N184" s="46">
        <v>3.25</v>
      </c>
      <c r="O184" s="42" t="s">
        <v>34</v>
      </c>
      <c r="P184" s="46">
        <v>55.0</v>
      </c>
      <c r="Q184" s="106">
        <f t="shared" si="11"/>
        <v>263</v>
      </c>
      <c r="R184" s="47">
        <f t="array" ref="R184">INDIRECT("'renta'!G$"&amp;MATCH(O184,renta!$A:$A,0))*P184</f>
        <v>7297.518416</v>
      </c>
      <c r="S184" s="48">
        <f t="shared" si="10"/>
        <v>43192.91034</v>
      </c>
      <c r="T184" s="49" t="str">
        <f t="shared" si="4"/>
        <v>SEAWATER</v>
      </c>
      <c r="U184" s="50">
        <f t="shared" si="5"/>
        <v>-0.03951188642</v>
      </c>
      <c r="V184" s="80"/>
      <c r="W184" s="52" t="str">
        <f t="shared" si="6"/>
        <v/>
      </c>
      <c r="X184" s="52"/>
      <c r="Y184" s="80">
        <v>3.0</v>
      </c>
      <c r="Z184" s="39">
        <v>0.02638888888888889</v>
      </c>
      <c r="AA184" s="81" t="s">
        <v>1078</v>
      </c>
      <c r="AB184" s="82" t="s">
        <v>1079</v>
      </c>
      <c r="AC184" s="83"/>
      <c r="AD184" s="50"/>
      <c r="AE184" s="83"/>
      <c r="AF184" s="40" t="s">
        <v>806</v>
      </c>
      <c r="AG184" s="40" t="s">
        <v>1080</v>
      </c>
      <c r="AH184" s="87">
        <v>5.0</v>
      </c>
      <c r="AI184" s="38">
        <v>0.47</v>
      </c>
    </row>
    <row r="185">
      <c r="A185" s="58" t="s">
        <v>1081</v>
      </c>
      <c r="B185" s="59">
        <v>30.0</v>
      </c>
      <c r="C185" s="60">
        <v>0.3888888888888889</v>
      </c>
      <c r="D185" s="61">
        <f t="array" ref="D185">IFERROR(INDIRECT("'renta'!G$"&amp;MATCH(T185,renta!$A:$A,0))*0.975-(G185*INDIRECT("'renta'!G$"&amp;MATCH(F185,renta!$A:$A,0)))/B185-IFERROR((J185*INDIRECT("'renta'!G$"&amp;MATCH(I185,renta!$A:$A,0)))/B185,0),)</f>
        <v>-0.8266755161</v>
      </c>
      <c r="E185" s="41">
        <f t="shared" si="1"/>
        <v>-7.812083628</v>
      </c>
      <c r="F185" s="61" t="s">
        <v>14</v>
      </c>
      <c r="G185" s="62">
        <f t="shared" si="2"/>
        <v>182.4</v>
      </c>
      <c r="H185" s="63" t="s">
        <v>1082</v>
      </c>
      <c r="I185" s="64"/>
      <c r="J185" s="64"/>
      <c r="K185" s="64"/>
      <c r="L185" s="59" t="s">
        <v>1053</v>
      </c>
      <c r="M185" s="65">
        <v>18.0</v>
      </c>
      <c r="N185" s="65">
        <v>3.25</v>
      </c>
      <c r="O185" s="66" t="s">
        <v>34</v>
      </c>
      <c r="P185" s="65">
        <v>65.0</v>
      </c>
      <c r="Q185" s="105">
        <f t="shared" si="11"/>
        <v>328</v>
      </c>
      <c r="R185" s="67">
        <f t="array" ref="R185">INDIRECT("'renta'!G$"&amp;MATCH(O185,renta!$A:$A,0))*P185</f>
        <v>8624.339946</v>
      </c>
      <c r="S185" s="68">
        <f t="shared" si="10"/>
        <v>51817.25029</v>
      </c>
      <c r="T185" s="69" t="str">
        <f t="shared" si="4"/>
        <v>SEAWATER</v>
      </c>
      <c r="U185" s="70">
        <f t="shared" si="5"/>
        <v>-0.03019393823</v>
      </c>
      <c r="V185" s="71">
        <v>18.0</v>
      </c>
      <c r="W185" s="72">
        <f t="shared" si="6"/>
        <v>-1.377792527</v>
      </c>
      <c r="X185" s="72"/>
      <c r="Y185" s="71">
        <v>1.0</v>
      </c>
      <c r="Z185" s="60">
        <v>0.0</v>
      </c>
      <c r="AA185" s="85" t="s">
        <v>1083</v>
      </c>
      <c r="AB185" s="74" t="s">
        <v>1084</v>
      </c>
      <c r="AC185" s="76"/>
      <c r="AD185" s="70"/>
      <c r="AE185" s="76"/>
      <c r="AF185" s="61" t="s">
        <v>806</v>
      </c>
      <c r="AG185" s="61" t="s">
        <v>1085</v>
      </c>
      <c r="AH185" s="86">
        <v>5.0</v>
      </c>
      <c r="AI185" s="59">
        <v>0.47</v>
      </c>
    </row>
    <row r="186">
      <c r="A186" s="78" t="s">
        <v>1086</v>
      </c>
      <c r="B186" s="38">
        <v>30.0</v>
      </c>
      <c r="C186" s="39">
        <v>0.375</v>
      </c>
      <c r="D186" s="40">
        <f t="array" ref="D186">IFERROR(INDIRECT("'renta'!G$"&amp;MATCH(T186,renta!$A:$A,0))*0.975-(G186*INDIRECT("'renta'!G$"&amp;MATCH(F186,renta!$A:$A,0)))/B186-IFERROR((J186*INDIRECT("'renta'!G$"&amp;MATCH(I186,renta!$A:$A,0)))/B186,0),)</f>
        <v>-0.8266755161</v>
      </c>
      <c r="E186" s="41">
        <f t="shared" si="1"/>
        <v>-8.101420058</v>
      </c>
      <c r="F186" s="40" t="s">
        <v>14</v>
      </c>
      <c r="G186" s="43">
        <f t="shared" si="2"/>
        <v>182.4</v>
      </c>
      <c r="H186" s="44" t="s">
        <v>1082</v>
      </c>
      <c r="I186" s="79"/>
      <c r="J186" s="79"/>
      <c r="K186" s="79"/>
      <c r="L186" s="38" t="s">
        <v>1053</v>
      </c>
      <c r="M186" s="46">
        <v>18.0</v>
      </c>
      <c r="N186" s="46">
        <v>3.25</v>
      </c>
      <c r="O186" s="42" t="s">
        <v>34</v>
      </c>
      <c r="P186" s="46">
        <v>77.0</v>
      </c>
      <c r="Q186" s="106">
        <f t="shared" si="11"/>
        <v>405</v>
      </c>
      <c r="R186" s="47">
        <f t="array" ref="R186">INDIRECT("'renta'!G$"&amp;MATCH(O186,renta!$A:$A,0))*P186</f>
        <v>10216.52578</v>
      </c>
      <c r="S186" s="48">
        <f t="shared" si="10"/>
        <v>62033.77607</v>
      </c>
      <c r="T186" s="49" t="str">
        <f t="shared" si="4"/>
        <v>SEAWATER</v>
      </c>
      <c r="U186" s="50">
        <f t="shared" si="5"/>
        <v>-0.02832043268</v>
      </c>
      <c r="V186" s="80">
        <v>18.0</v>
      </c>
      <c r="W186" s="52">
        <f t="shared" si="6"/>
        <v>-1.377792527</v>
      </c>
      <c r="X186" s="52"/>
      <c r="Y186" s="80">
        <v>0.0</v>
      </c>
      <c r="Z186" s="39">
        <v>-0.013888888888888888</v>
      </c>
      <c r="AA186" s="81" t="s">
        <v>1087</v>
      </c>
      <c r="AB186" s="82" t="s">
        <v>1088</v>
      </c>
      <c r="AC186" s="83"/>
      <c r="AD186" s="50"/>
      <c r="AE186" s="83"/>
      <c r="AF186" s="40" t="s">
        <v>806</v>
      </c>
      <c r="AG186" s="40" t="s">
        <v>1089</v>
      </c>
      <c r="AH186" s="87">
        <v>5.0</v>
      </c>
      <c r="AI186" s="38">
        <v>0.47</v>
      </c>
    </row>
    <row r="187">
      <c r="A187" s="58" t="s">
        <v>1090</v>
      </c>
      <c r="B187" s="59">
        <v>30.0</v>
      </c>
      <c r="C187" s="60">
        <v>0.36319444444444443</v>
      </c>
      <c r="D187" s="61">
        <f t="array" ref="D187">IFERROR(INDIRECT("'renta'!G$"&amp;MATCH(T187,renta!$A:$A,0))*0.975-(G187*INDIRECT("'renta'!G$"&amp;MATCH(F187,renta!$A:$A,0)))/B187-IFERROR((J187*INDIRECT("'renta'!G$"&amp;MATCH(I187,renta!$A:$A,0)))/B187,0),)</f>
        <v>0.2702324839</v>
      </c>
      <c r="E187" s="41">
        <f t="shared" si="1"/>
        <v>2.734360047</v>
      </c>
      <c r="F187" s="61" t="s">
        <v>14</v>
      </c>
      <c r="G187" s="62">
        <f t="shared" si="2"/>
        <v>171.646</v>
      </c>
      <c r="H187" s="63" t="s">
        <v>1091</v>
      </c>
      <c r="I187" s="64"/>
      <c r="J187" s="64"/>
      <c r="K187" s="64"/>
      <c r="L187" s="59" t="s">
        <v>1092</v>
      </c>
      <c r="M187" s="65">
        <v>18.0</v>
      </c>
      <c r="N187" s="65">
        <v>3.25</v>
      </c>
      <c r="O187" s="66" t="s">
        <v>34</v>
      </c>
      <c r="P187" s="65">
        <v>91.0</v>
      </c>
      <c r="Q187" s="105">
        <f t="shared" si="11"/>
        <v>496</v>
      </c>
      <c r="R187" s="67">
        <f t="array" ref="R187">INDIRECT("'renta'!G$"&amp;MATCH(O187,renta!$A:$A,0))*P187</f>
        <v>12074.07592</v>
      </c>
      <c r="S187" s="68">
        <f t="shared" si="10"/>
        <v>74107.85199</v>
      </c>
      <c r="T187" s="69" t="str">
        <f t="shared" si="4"/>
        <v>SEAWATER</v>
      </c>
      <c r="U187" s="70">
        <f t="shared" si="5"/>
        <v>0.897441773</v>
      </c>
      <c r="V187" s="71">
        <v>18.0</v>
      </c>
      <c r="W187" s="72">
        <f t="shared" si="6"/>
        <v>0.4503874731</v>
      </c>
      <c r="X187" s="72"/>
      <c r="Y187" s="71">
        <v>0.0</v>
      </c>
      <c r="Z187" s="60">
        <v>-0.011805555555555555</v>
      </c>
      <c r="AA187" s="85" t="s">
        <v>1093</v>
      </c>
      <c r="AB187" s="74" t="s">
        <v>1094</v>
      </c>
      <c r="AC187" s="76"/>
      <c r="AD187" s="70"/>
      <c r="AE187" s="76"/>
      <c r="AF187" s="61" t="s">
        <v>806</v>
      </c>
      <c r="AG187" s="61" t="s">
        <v>1095</v>
      </c>
      <c r="AH187" s="86">
        <v>5.0</v>
      </c>
      <c r="AI187" s="59">
        <v>0.47</v>
      </c>
    </row>
    <row r="188">
      <c r="A188" s="78" t="s">
        <v>1096</v>
      </c>
      <c r="B188" s="38">
        <v>30.0</v>
      </c>
      <c r="C188" s="39">
        <v>0.3527777777777778</v>
      </c>
      <c r="D188" s="40">
        <f t="array" ref="D188">IFERROR(INDIRECT("'renta'!G$"&amp;MATCH(T188,renta!$A:$A,0))*0.975-(G188*INDIRECT("'renta'!G$"&amp;MATCH(F188,renta!$A:$A,0)))/B188-IFERROR((J188*INDIRECT("'renta'!G$"&amp;MATCH(I188,renta!$A:$A,0)))/B188,0),)</f>
        <v>1.094851484</v>
      </c>
      <c r="E188" s="41">
        <f t="shared" si="1"/>
        <v>11.40542136</v>
      </c>
      <c r="F188" s="40" t="s">
        <v>14</v>
      </c>
      <c r="G188" s="43">
        <f t="shared" si="2"/>
        <v>163.5615</v>
      </c>
      <c r="H188" s="44" t="s">
        <v>1097</v>
      </c>
      <c r="I188" s="79"/>
      <c r="J188" s="79"/>
      <c r="K188" s="79"/>
      <c r="L188" s="38" t="s">
        <v>1098</v>
      </c>
      <c r="M188" s="46">
        <v>18.0</v>
      </c>
      <c r="N188" s="46">
        <v>3.25</v>
      </c>
      <c r="O188" s="42" t="s">
        <v>34</v>
      </c>
      <c r="P188" s="46">
        <v>108.0</v>
      </c>
      <c r="Q188" s="106">
        <f t="shared" si="11"/>
        <v>604</v>
      </c>
      <c r="R188" s="47">
        <f t="array" ref="R188">INDIRECT("'renta'!G$"&amp;MATCH(O188,renta!$A:$A,0))*P188</f>
        <v>14329.67253</v>
      </c>
      <c r="S188" s="48">
        <f t="shared" si="10"/>
        <v>88437.52452</v>
      </c>
      <c r="T188" s="49" t="str">
        <f t="shared" si="4"/>
        <v>SEAWATER</v>
      </c>
      <c r="U188" s="50">
        <f t="shared" si="5"/>
        <v>0.6051123151</v>
      </c>
      <c r="V188" s="80">
        <v>18.0</v>
      </c>
      <c r="W188" s="52">
        <f t="shared" si="6"/>
        <v>1.824752473</v>
      </c>
      <c r="X188" s="52"/>
      <c r="Y188" s="80">
        <v>0.0</v>
      </c>
      <c r="Z188" s="39">
        <v>-0.010416666666666666</v>
      </c>
      <c r="AA188" s="81" t="s">
        <v>1099</v>
      </c>
      <c r="AB188" s="82" t="s">
        <v>1100</v>
      </c>
      <c r="AC188" s="83"/>
      <c r="AD188" s="50"/>
      <c r="AE188" s="83"/>
      <c r="AF188" s="40" t="s">
        <v>806</v>
      </c>
      <c r="AG188" s="40" t="s">
        <v>1101</v>
      </c>
      <c r="AH188" s="87">
        <v>5.0</v>
      </c>
      <c r="AI188" s="38">
        <v>0.47</v>
      </c>
    </row>
    <row r="189">
      <c r="A189" s="58" t="s">
        <v>1102</v>
      </c>
      <c r="B189" s="59">
        <v>30.0</v>
      </c>
      <c r="C189" s="60">
        <v>0.34305555555555556</v>
      </c>
      <c r="D189" s="61">
        <f t="array" ref="D189">IFERROR(INDIRECT("'renta'!G$"&amp;MATCH(T189,renta!$A:$A,0))*0.975-(G189*INDIRECT("'renta'!G$"&amp;MATCH(F189,renta!$A:$A,0)))/B189-IFERROR((J189*INDIRECT("'renta'!G$"&amp;MATCH(I189,renta!$A:$A,0)))/B189,0),)</f>
        <v>1.744081484</v>
      </c>
      <c r="E189" s="41">
        <f t="shared" si="1"/>
        <v>18.68356116</v>
      </c>
      <c r="F189" s="61" t="s">
        <v>14</v>
      </c>
      <c r="G189" s="62">
        <f t="shared" si="2"/>
        <v>157.1965</v>
      </c>
      <c r="H189" s="63" t="s">
        <v>1103</v>
      </c>
      <c r="I189" s="64"/>
      <c r="J189" s="64"/>
      <c r="K189" s="64"/>
      <c r="L189" s="59" t="s">
        <v>1104</v>
      </c>
      <c r="M189" s="65">
        <v>18.0</v>
      </c>
      <c r="N189" s="65">
        <v>3.25</v>
      </c>
      <c r="O189" s="66" t="s">
        <v>34</v>
      </c>
      <c r="P189" s="65">
        <v>127.0</v>
      </c>
      <c r="Q189" s="105">
        <f t="shared" si="11"/>
        <v>731</v>
      </c>
      <c r="R189" s="67">
        <f t="array" ref="R189">INDIRECT("'renta'!G$"&amp;MATCH(O189,renta!$A:$A,0))*P189</f>
        <v>16850.63343</v>
      </c>
      <c r="S189" s="68">
        <f t="shared" si="10"/>
        <v>105288.158</v>
      </c>
      <c r="T189" s="69" t="str">
        <f t="shared" si="4"/>
        <v>SEAWATER</v>
      </c>
      <c r="U189" s="70">
        <f t="shared" si="5"/>
        <v>0.4319208429</v>
      </c>
      <c r="V189" s="71">
        <v>18.0</v>
      </c>
      <c r="W189" s="72">
        <f t="shared" si="6"/>
        <v>2.906802473</v>
      </c>
      <c r="X189" s="72"/>
      <c r="Y189" s="71">
        <v>0.0</v>
      </c>
      <c r="Z189" s="60">
        <v>-0.009722222222222222</v>
      </c>
      <c r="AA189" s="85" t="s">
        <v>1105</v>
      </c>
      <c r="AB189" s="74" t="s">
        <v>1106</v>
      </c>
      <c r="AC189" s="76"/>
      <c r="AD189" s="70"/>
      <c r="AE189" s="76"/>
      <c r="AF189" s="61" t="s">
        <v>806</v>
      </c>
      <c r="AG189" s="61" t="s">
        <v>1107</v>
      </c>
      <c r="AH189" s="86">
        <v>5.0</v>
      </c>
      <c r="AI189" s="59">
        <v>0.47</v>
      </c>
    </row>
    <row r="190">
      <c r="A190" s="78" t="s">
        <v>38</v>
      </c>
      <c r="B190" s="38">
        <v>30.0</v>
      </c>
      <c r="C190" s="39">
        <v>0.3333333333333333</v>
      </c>
      <c r="D190" s="40">
        <f t="array" ref="D190">IFERROR(INDIRECT("'renta'!G$"&amp;MATCH(T190,renta!$A:$A,0))*0.975-(G190*INDIRECT("'renta'!G$"&amp;MATCH(F190,renta!$A:$A,0)))/B190-IFERROR((J190*INDIRECT("'renta'!G$"&amp;MATCH(I190,renta!$A:$A,0)))/B190,0),)</f>
        <v>2.274124484</v>
      </c>
      <c r="E190" s="41">
        <f t="shared" si="1"/>
        <v>25.07222243</v>
      </c>
      <c r="F190" s="40" t="s">
        <v>14</v>
      </c>
      <c r="G190" s="43">
        <f t="shared" si="2"/>
        <v>152</v>
      </c>
      <c r="H190" s="44" t="s">
        <v>1108</v>
      </c>
      <c r="I190" s="79"/>
      <c r="J190" s="79"/>
      <c r="K190" s="79"/>
      <c r="L190" s="38" t="s">
        <v>1109</v>
      </c>
      <c r="M190" s="46">
        <v>18.0</v>
      </c>
      <c r="N190" s="46">
        <v>3.25</v>
      </c>
      <c r="O190" s="42" t="s">
        <v>34</v>
      </c>
      <c r="P190" s="46">
        <v>150.0</v>
      </c>
      <c r="Q190" s="106">
        <f t="shared" si="11"/>
        <v>881</v>
      </c>
      <c r="R190" s="47">
        <f t="array" ref="R190">INDIRECT("'renta'!G$"&amp;MATCH(O190,renta!$A:$A,0))*P190</f>
        <v>19902.32295</v>
      </c>
      <c r="S190" s="48">
        <f t="shared" si="10"/>
        <v>125190.4809</v>
      </c>
      <c r="T190" s="49" t="str">
        <f t="shared" si="4"/>
        <v>SEAWATER</v>
      </c>
      <c r="U190" s="50">
        <f t="shared" si="5"/>
        <v>0.3210007842</v>
      </c>
      <c r="V190" s="80">
        <v>18.0</v>
      </c>
      <c r="W190" s="52">
        <f t="shared" si="6"/>
        <v>3.790207473</v>
      </c>
      <c r="X190" s="52"/>
      <c r="Y190" s="80">
        <v>0.0</v>
      </c>
      <c r="Z190" s="39">
        <v>-0.009722222222222222</v>
      </c>
      <c r="AA190" s="81" t="s">
        <v>1110</v>
      </c>
      <c r="AB190" s="82" t="s">
        <v>1111</v>
      </c>
      <c r="AC190" s="83"/>
      <c r="AD190" s="50"/>
      <c r="AE190" s="83"/>
      <c r="AF190" s="40" t="s">
        <v>806</v>
      </c>
      <c r="AG190" s="40" t="s">
        <v>1112</v>
      </c>
      <c r="AH190" s="87">
        <v>5.0</v>
      </c>
      <c r="AI190" s="38">
        <v>0.47</v>
      </c>
    </row>
    <row r="191">
      <c r="A191" s="96"/>
      <c r="B191" s="97"/>
      <c r="C191" s="98"/>
      <c r="D191" s="61" t="str">
        <f t="array" ref="D191">IFERROR(INDIRECT("'renta'!G$"&amp;MATCH(T191,renta!$A:$A,0))*0.975-(G191*INDIRECT("'renta'!G$"&amp;MATCH(F191,renta!$A:$A,0)))/B191-IFERROR((J191*INDIRECT("'renta'!G$"&amp;MATCH(I191,renta!$A:$A,0)))/B191,0),)</f>
        <v/>
      </c>
      <c r="E191" s="41">
        <f t="shared" si="1"/>
        <v>0</v>
      </c>
      <c r="F191" s="64"/>
      <c r="G191" s="62">
        <f t="shared" si="2"/>
        <v>0</v>
      </c>
      <c r="H191" s="99"/>
      <c r="I191" s="64"/>
      <c r="J191" s="64"/>
      <c r="K191" s="64"/>
      <c r="L191" s="100"/>
      <c r="M191" s="101"/>
      <c r="N191" s="101"/>
      <c r="O191" s="102"/>
      <c r="P191" s="101"/>
      <c r="Q191" s="101"/>
      <c r="R191" s="67"/>
      <c r="S191" s="68"/>
      <c r="T191" s="69" t="str">
        <f t="shared" si="4"/>
        <v/>
      </c>
      <c r="U191" s="70" t="str">
        <f t="shared" si="5"/>
        <v>#DIV/0!</v>
      </c>
      <c r="V191" s="103"/>
      <c r="W191" s="72" t="str">
        <f t="shared" si="6"/>
        <v/>
      </c>
      <c r="X191" s="72"/>
      <c r="Y191" s="103"/>
      <c r="Z191" s="98"/>
      <c r="AA191" s="104"/>
      <c r="AB191" s="70"/>
      <c r="AC191" s="76"/>
      <c r="AD191" s="70"/>
      <c r="AE191" s="76"/>
      <c r="AF191" s="64"/>
      <c r="AG191" s="64"/>
      <c r="AH191" s="77"/>
      <c r="AI191" s="98"/>
    </row>
    <row r="192">
      <c r="A192" s="78" t="s">
        <v>1113</v>
      </c>
      <c r="B192" s="38">
        <v>1.0</v>
      </c>
      <c r="C192" s="39">
        <v>0.10416666666666667</v>
      </c>
      <c r="D192" s="40">
        <f t="array" ref="D192">IFERROR(INDIRECT("'renta'!G$"&amp;MATCH(T192,renta!$A:$A,0))*0.975-(G192*INDIRECT("'renta'!G$"&amp;MATCH(F192,renta!$A:$A,0)))/B192-IFERROR((J192*INDIRECT("'renta'!G$"&amp;MATCH(I192,renta!$A:$A,0)))/B192,0),)</f>
        <v>-106.9318033</v>
      </c>
      <c r="E192" s="41">
        <f t="shared" si="1"/>
        <v>-85.5454426</v>
      </c>
      <c r="F192" s="40" t="s">
        <v>16</v>
      </c>
      <c r="G192" s="43">
        <f t="shared" si="2"/>
        <v>17.1</v>
      </c>
      <c r="H192" s="44" t="s">
        <v>1114</v>
      </c>
      <c r="I192" s="79"/>
      <c r="J192" s="79"/>
      <c r="K192" s="79"/>
      <c r="L192" s="38" t="s">
        <v>137</v>
      </c>
      <c r="M192" s="46">
        <v>1.0</v>
      </c>
      <c r="N192" s="46">
        <v>4.5</v>
      </c>
      <c r="O192" s="42" t="s">
        <v>12</v>
      </c>
      <c r="P192" s="46">
        <v>1.0</v>
      </c>
      <c r="Q192" s="46"/>
      <c r="R192" s="47">
        <f t="array" ref="R192">INDIRECT("'renta'!G$"&amp;MATCH(O192,renta!$A:$A,0))*P192</f>
        <v>0.0041</v>
      </c>
      <c r="S192" s="48">
        <f t="shared" ref="S192:S221" si="12">SUM(R$192:R192)</f>
        <v>0.0041</v>
      </c>
      <c r="T192" s="49" t="str">
        <f t="shared" si="4"/>
        <v>HEAT</v>
      </c>
      <c r="U192" s="50">
        <f t="shared" si="5"/>
        <v>-20864742.1</v>
      </c>
      <c r="V192" s="80"/>
      <c r="W192" s="52" t="str">
        <f t="shared" si="6"/>
        <v/>
      </c>
      <c r="X192" s="52"/>
      <c r="Y192" s="80">
        <v>0.0</v>
      </c>
      <c r="Z192" s="39">
        <v>0.0</v>
      </c>
      <c r="AA192" s="53">
        <v>0.0</v>
      </c>
      <c r="AB192" s="82" t="s">
        <v>1115</v>
      </c>
      <c r="AC192" s="83"/>
      <c r="AD192" s="50"/>
      <c r="AE192" s="83"/>
      <c r="AF192" s="40" t="s">
        <v>806</v>
      </c>
      <c r="AG192" s="40" t="s">
        <v>1116</v>
      </c>
      <c r="AH192" s="87">
        <v>5.0</v>
      </c>
      <c r="AI192" s="39"/>
    </row>
    <row r="193">
      <c r="A193" s="58" t="s">
        <v>1117</v>
      </c>
      <c r="B193" s="59">
        <v>1.0</v>
      </c>
      <c r="C193" s="60">
        <v>0.10416666666666667</v>
      </c>
      <c r="D193" s="61">
        <f t="array" ref="D193">IFERROR(INDIRECT("'renta'!G$"&amp;MATCH(T193,renta!$A:$A,0))*0.975-(G193*INDIRECT("'renta'!G$"&amp;MATCH(F193,renta!$A:$A,0)))/B193-IFERROR((J193*INDIRECT("'renta'!G$"&amp;MATCH(I193,renta!$A:$A,0)))/B193,0),)</f>
        <v>-65.46430325</v>
      </c>
      <c r="E193" s="41">
        <f t="shared" si="1"/>
        <v>-52.3714426</v>
      </c>
      <c r="F193" s="61" t="s">
        <v>16</v>
      </c>
      <c r="G193" s="62">
        <f t="shared" si="2"/>
        <v>12.825</v>
      </c>
      <c r="H193" s="63" t="s">
        <v>1118</v>
      </c>
      <c r="I193" s="64"/>
      <c r="J193" s="64"/>
      <c r="K193" s="64"/>
      <c r="L193" s="59" t="s">
        <v>971</v>
      </c>
      <c r="M193" s="65">
        <v>1.0</v>
      </c>
      <c r="N193" s="65">
        <v>4.5</v>
      </c>
      <c r="O193" s="66" t="s">
        <v>27</v>
      </c>
      <c r="P193" s="65">
        <v>6.0</v>
      </c>
      <c r="Q193" s="65"/>
      <c r="R193" s="67">
        <f t="array" ref="R193">INDIRECT("'renta'!G$"&amp;MATCH(O193,renta!$A:$A,0))*P193</f>
        <v>49.98</v>
      </c>
      <c r="S193" s="68">
        <f t="shared" si="12"/>
        <v>49.9841</v>
      </c>
      <c r="T193" s="69" t="str">
        <f t="shared" si="4"/>
        <v>HEAT</v>
      </c>
      <c r="U193" s="70">
        <f t="shared" si="5"/>
        <v>663.7454982</v>
      </c>
      <c r="V193" s="71"/>
      <c r="W193" s="72" t="str">
        <f t="shared" si="6"/>
        <v/>
      </c>
      <c r="X193" s="72">
        <f t="shared" ref="X193:X199" si="13">(W193-W192)/R193*100000</f>
        <v>0</v>
      </c>
      <c r="Y193" s="71">
        <v>0.0</v>
      </c>
      <c r="Z193" s="60">
        <v>0.0</v>
      </c>
      <c r="AA193" s="73">
        <v>0.0</v>
      </c>
      <c r="AB193" s="74" t="s">
        <v>1119</v>
      </c>
      <c r="AC193" s="76"/>
      <c r="AD193" s="70"/>
      <c r="AE193" s="76"/>
      <c r="AF193" s="61" t="s">
        <v>806</v>
      </c>
      <c r="AG193" s="61" t="s">
        <v>1116</v>
      </c>
      <c r="AH193" s="86">
        <v>5.0</v>
      </c>
      <c r="AI193" s="60"/>
    </row>
    <row r="194">
      <c r="A194" s="78" t="s">
        <v>1120</v>
      </c>
      <c r="B194" s="38">
        <v>1.0</v>
      </c>
      <c r="C194" s="39">
        <v>0.10416666666666667</v>
      </c>
      <c r="D194" s="40">
        <f t="array" ref="D194">IFERROR(INDIRECT("'renta'!G$"&amp;MATCH(T194,renta!$A:$A,0))*0.975-(G194*INDIRECT("'renta'!G$"&amp;MATCH(F194,renta!$A:$A,0)))/B194-IFERROR((J194*INDIRECT("'renta'!G$"&amp;MATCH(I194,renta!$A:$A,0)))/B194,0),)</f>
        <v>-44.73055325</v>
      </c>
      <c r="E194" s="41">
        <f t="shared" si="1"/>
        <v>-35.7844426</v>
      </c>
      <c r="F194" s="40" t="s">
        <v>16</v>
      </c>
      <c r="G194" s="43">
        <f t="shared" si="2"/>
        <v>10.6875</v>
      </c>
      <c r="H194" s="44" t="s">
        <v>1121</v>
      </c>
      <c r="I194" s="79"/>
      <c r="J194" s="79"/>
      <c r="K194" s="79"/>
      <c r="L194" s="38" t="s">
        <v>974</v>
      </c>
      <c r="M194" s="46">
        <v>1.0</v>
      </c>
      <c r="N194" s="46">
        <v>4.5</v>
      </c>
      <c r="O194" s="42" t="s">
        <v>27</v>
      </c>
      <c r="P194" s="46">
        <v>10.0</v>
      </c>
      <c r="Q194" s="46"/>
      <c r="R194" s="47">
        <f t="array" ref="R194">INDIRECT("'renta'!G$"&amp;MATCH(O194,renta!$A:$A,0))*P194</f>
        <v>83.3</v>
      </c>
      <c r="S194" s="48">
        <f t="shared" si="12"/>
        <v>133.2841</v>
      </c>
      <c r="T194" s="49" t="str">
        <f t="shared" si="4"/>
        <v>HEAT</v>
      </c>
      <c r="U194" s="50">
        <f t="shared" si="5"/>
        <v>199.1236495</v>
      </c>
      <c r="V194" s="80"/>
      <c r="W194" s="52" t="str">
        <f t="shared" si="6"/>
        <v/>
      </c>
      <c r="X194" s="52">
        <f t="shared" si="13"/>
        <v>0</v>
      </c>
      <c r="Y194" s="80">
        <v>0.0</v>
      </c>
      <c r="Z194" s="39">
        <v>0.0</v>
      </c>
      <c r="AA194" s="53">
        <v>0.0</v>
      </c>
      <c r="AB194" s="82" t="s">
        <v>1122</v>
      </c>
      <c r="AC194" s="83"/>
      <c r="AD194" s="50"/>
      <c r="AE194" s="83"/>
      <c r="AF194" s="40" t="s">
        <v>806</v>
      </c>
      <c r="AG194" s="40" t="s">
        <v>1116</v>
      </c>
      <c r="AH194" s="87">
        <v>5.0</v>
      </c>
      <c r="AI194" s="39"/>
    </row>
    <row r="195">
      <c r="A195" s="58" t="s">
        <v>1123</v>
      </c>
      <c r="B195" s="59">
        <v>1.0</v>
      </c>
      <c r="C195" s="60">
        <v>0.10416666666666667</v>
      </c>
      <c r="D195" s="61">
        <f t="array" ref="D195">IFERROR(INDIRECT("'renta'!G$"&amp;MATCH(T195,renta!$A:$A,0))*0.975-(G195*INDIRECT("'renta'!G$"&amp;MATCH(F195,renta!$A:$A,0)))/B195-IFERROR((J195*INDIRECT("'renta'!G$"&amp;MATCH(I195,renta!$A:$A,0)))/B195,0),)</f>
        <v>-32.29030325</v>
      </c>
      <c r="E195" s="41">
        <f t="shared" si="1"/>
        <v>-25.8322426</v>
      </c>
      <c r="F195" s="61" t="s">
        <v>16</v>
      </c>
      <c r="G195" s="62">
        <f t="shared" si="2"/>
        <v>9.405</v>
      </c>
      <c r="H195" s="63" t="s">
        <v>1124</v>
      </c>
      <c r="I195" s="64"/>
      <c r="J195" s="64"/>
      <c r="K195" s="64"/>
      <c r="L195" s="59" t="s">
        <v>978</v>
      </c>
      <c r="M195" s="65">
        <v>1.0</v>
      </c>
      <c r="N195" s="65">
        <v>4.5</v>
      </c>
      <c r="O195" s="66" t="s">
        <v>27</v>
      </c>
      <c r="P195" s="65">
        <v>14.0</v>
      </c>
      <c r="Q195" s="65"/>
      <c r="R195" s="67">
        <f t="array" ref="R195">INDIRECT("'renta'!G$"&amp;MATCH(O195,renta!$A:$A,0))*P195</f>
        <v>116.62</v>
      </c>
      <c r="S195" s="68">
        <f t="shared" si="12"/>
        <v>249.9041</v>
      </c>
      <c r="T195" s="69" t="str">
        <f t="shared" si="4"/>
        <v>HEAT</v>
      </c>
      <c r="U195" s="70">
        <f t="shared" si="5"/>
        <v>85.33870691</v>
      </c>
      <c r="V195" s="71"/>
      <c r="W195" s="72" t="str">
        <f t="shared" si="6"/>
        <v/>
      </c>
      <c r="X195" s="72">
        <f t="shared" si="13"/>
        <v>0</v>
      </c>
      <c r="Y195" s="71">
        <v>0.0</v>
      </c>
      <c r="Z195" s="60">
        <v>0.0</v>
      </c>
      <c r="AA195" s="73">
        <v>0.0</v>
      </c>
      <c r="AB195" s="74" t="s">
        <v>1125</v>
      </c>
      <c r="AC195" s="76"/>
      <c r="AD195" s="70"/>
      <c r="AE195" s="76"/>
      <c r="AF195" s="61" t="s">
        <v>806</v>
      </c>
      <c r="AG195" s="61" t="s">
        <v>1116</v>
      </c>
      <c r="AH195" s="86">
        <v>5.0</v>
      </c>
      <c r="AI195" s="60"/>
    </row>
    <row r="196">
      <c r="A196" s="78" t="s">
        <v>1126</v>
      </c>
      <c r="B196" s="38">
        <v>1.0</v>
      </c>
      <c r="C196" s="39">
        <v>0.10416666666666667</v>
      </c>
      <c r="D196" s="40">
        <f t="array" ref="D196">IFERROR(INDIRECT("'renta'!G$"&amp;MATCH(T196,renta!$A:$A,0))*0.975-(G196*INDIRECT("'renta'!G$"&amp;MATCH(F196,renta!$A:$A,0)))/B196-IFERROR((J196*INDIRECT("'renta'!G$"&amp;MATCH(I196,renta!$A:$A,0)))/B196,0),)</f>
        <v>-23.99680325</v>
      </c>
      <c r="E196" s="41">
        <f t="shared" si="1"/>
        <v>-19.1974426</v>
      </c>
      <c r="F196" s="40" t="s">
        <v>16</v>
      </c>
      <c r="G196" s="43">
        <f t="shared" si="2"/>
        <v>8.55</v>
      </c>
      <c r="H196" s="44" t="s">
        <v>1127</v>
      </c>
      <c r="I196" s="79"/>
      <c r="J196" s="79"/>
      <c r="K196" s="79"/>
      <c r="L196" s="38" t="s">
        <v>982</v>
      </c>
      <c r="M196" s="46">
        <v>1.0</v>
      </c>
      <c r="N196" s="46">
        <v>4.5</v>
      </c>
      <c r="O196" s="42" t="s">
        <v>27</v>
      </c>
      <c r="P196" s="46">
        <v>20.0</v>
      </c>
      <c r="Q196" s="46"/>
      <c r="R196" s="47">
        <f t="array" ref="R196">INDIRECT("'renta'!G$"&amp;MATCH(O196,renta!$A:$A,0))*P196</f>
        <v>166.6</v>
      </c>
      <c r="S196" s="48">
        <f t="shared" si="12"/>
        <v>416.5041</v>
      </c>
      <c r="T196" s="49" t="str">
        <f t="shared" si="4"/>
        <v>HEAT</v>
      </c>
      <c r="U196" s="50">
        <f t="shared" si="5"/>
        <v>39.82472989</v>
      </c>
      <c r="V196" s="80"/>
      <c r="W196" s="52" t="str">
        <f t="shared" si="6"/>
        <v/>
      </c>
      <c r="X196" s="52">
        <f t="shared" si="13"/>
        <v>0</v>
      </c>
      <c r="Y196" s="80">
        <v>0.0</v>
      </c>
      <c r="Z196" s="39">
        <v>0.0</v>
      </c>
      <c r="AA196" s="53">
        <v>0.0</v>
      </c>
      <c r="AB196" s="82" t="s">
        <v>1128</v>
      </c>
      <c r="AC196" s="83"/>
      <c r="AD196" s="50"/>
      <c r="AE196" s="83"/>
      <c r="AF196" s="40" t="s">
        <v>806</v>
      </c>
      <c r="AG196" s="40" t="s">
        <v>1116</v>
      </c>
      <c r="AH196" s="87">
        <v>5.0</v>
      </c>
      <c r="AI196" s="39"/>
    </row>
    <row r="197">
      <c r="A197" s="58" t="s">
        <v>1129</v>
      </c>
      <c r="B197" s="59">
        <v>2.0</v>
      </c>
      <c r="C197" s="60">
        <v>0.10416666666666667</v>
      </c>
      <c r="D197" s="61">
        <f t="array" ref="D197">IFERROR(INDIRECT("'renta'!G$"&amp;MATCH(T197,renta!$A:$A,0))*0.975-(G197*INDIRECT("'renta'!G$"&amp;MATCH(F197,renta!$A:$A,0)))/B197-IFERROR((J197*INDIRECT("'renta'!G$"&amp;MATCH(I197,renta!$A:$A,0)))/B197,0),)</f>
        <v>-23.99680325</v>
      </c>
      <c r="E197" s="41">
        <f t="shared" si="1"/>
        <v>-38.3948852</v>
      </c>
      <c r="F197" s="61" t="s">
        <v>16</v>
      </c>
      <c r="G197" s="62">
        <f t="shared" si="2"/>
        <v>17.1</v>
      </c>
      <c r="H197" s="63" t="s">
        <v>1114</v>
      </c>
      <c r="I197" s="64"/>
      <c r="J197" s="64"/>
      <c r="K197" s="64"/>
      <c r="L197" s="59" t="s">
        <v>982</v>
      </c>
      <c r="M197" s="65">
        <v>1.99</v>
      </c>
      <c r="N197" s="65">
        <v>4.5</v>
      </c>
      <c r="O197" s="66" t="s">
        <v>30</v>
      </c>
      <c r="P197" s="65">
        <v>5.0</v>
      </c>
      <c r="Q197" s="105">
        <f t="shared" ref="Q197:Q207" si="14">SUM(P$197:P197)</f>
        <v>5</v>
      </c>
      <c r="R197" s="67">
        <f t="array" ref="R197">INDIRECT("'renta'!G$"&amp;MATCH(O197,renta!$A:$A,0))*P197</f>
        <v>185</v>
      </c>
      <c r="S197" s="68">
        <f t="shared" si="12"/>
        <v>601.5041</v>
      </c>
      <c r="T197" s="69" t="str">
        <f t="shared" si="4"/>
        <v>HEAT</v>
      </c>
      <c r="U197" s="70">
        <f t="shared" si="5"/>
        <v>-103.76996</v>
      </c>
      <c r="V197" s="71"/>
      <c r="W197" s="72" t="str">
        <f t="shared" si="6"/>
        <v/>
      </c>
      <c r="X197" s="72">
        <f t="shared" si="13"/>
        <v>0</v>
      </c>
      <c r="Y197" s="71">
        <v>1.0</v>
      </c>
      <c r="Z197" s="60">
        <v>0.0</v>
      </c>
      <c r="AA197" s="73">
        <v>1.0</v>
      </c>
      <c r="AB197" s="74" t="s">
        <v>1115</v>
      </c>
      <c r="AC197" s="76"/>
      <c r="AD197" s="70"/>
      <c r="AE197" s="76"/>
      <c r="AF197" s="61" t="s">
        <v>806</v>
      </c>
      <c r="AG197" s="61" t="s">
        <v>1130</v>
      </c>
      <c r="AH197" s="86">
        <v>5.0</v>
      </c>
      <c r="AI197" s="60"/>
    </row>
    <row r="198">
      <c r="A198" s="78" t="s">
        <v>1131</v>
      </c>
      <c r="B198" s="38">
        <v>3.0</v>
      </c>
      <c r="C198" s="39">
        <v>0.1423611111111111</v>
      </c>
      <c r="D198" s="40">
        <f t="array" ref="D198">IFERROR(INDIRECT("'renta'!G$"&amp;MATCH(T198,renta!$A:$A,0))*0.975-(G198*INDIRECT("'renta'!G$"&amp;MATCH(F198,renta!$A:$A,0)))/B198-IFERROR((J198*INDIRECT("'renta'!G$"&amp;MATCH(I198,renta!$A:$A,0)))/B198,0),)</f>
        <v>-23.99680325</v>
      </c>
      <c r="E198" s="41">
        <f t="shared" si="1"/>
        <v>-42.14072766</v>
      </c>
      <c r="F198" s="40" t="s">
        <v>16</v>
      </c>
      <c r="G198" s="43">
        <f t="shared" si="2"/>
        <v>25.65</v>
      </c>
      <c r="H198" s="44" t="s">
        <v>1132</v>
      </c>
      <c r="I198" s="79"/>
      <c r="J198" s="79"/>
      <c r="K198" s="79"/>
      <c r="L198" s="38" t="s">
        <v>982</v>
      </c>
      <c r="M198" s="46">
        <v>2.97</v>
      </c>
      <c r="N198" s="46">
        <v>4.5</v>
      </c>
      <c r="O198" s="42" t="s">
        <v>30</v>
      </c>
      <c r="P198" s="46">
        <v>7.0</v>
      </c>
      <c r="Q198" s="106">
        <f t="shared" si="14"/>
        <v>12</v>
      </c>
      <c r="R198" s="47">
        <f t="array" ref="R198">INDIRECT("'renta'!G$"&amp;MATCH(O198,renta!$A:$A,0))*P198</f>
        <v>259</v>
      </c>
      <c r="S198" s="48">
        <f t="shared" si="12"/>
        <v>860.5041</v>
      </c>
      <c r="T198" s="49" t="str">
        <f t="shared" si="4"/>
        <v>HEAT</v>
      </c>
      <c r="U198" s="50">
        <f t="shared" si="5"/>
        <v>-14.4627122</v>
      </c>
      <c r="V198" s="80"/>
      <c r="W198" s="52" t="str">
        <f t="shared" si="6"/>
        <v/>
      </c>
      <c r="X198" s="52">
        <f t="shared" si="13"/>
        <v>0</v>
      </c>
      <c r="Y198" s="80">
        <v>1.0</v>
      </c>
      <c r="Z198" s="39">
        <v>0.03819444444444445</v>
      </c>
      <c r="AA198" s="81" t="s">
        <v>1133</v>
      </c>
      <c r="AB198" s="82" t="s">
        <v>1134</v>
      </c>
      <c r="AC198" s="83"/>
      <c r="AD198" s="50"/>
      <c r="AE198" s="83"/>
      <c r="AF198" s="40" t="s">
        <v>806</v>
      </c>
      <c r="AG198" s="40" t="s">
        <v>1135</v>
      </c>
      <c r="AH198" s="87">
        <v>5.0</v>
      </c>
      <c r="AI198" s="39"/>
    </row>
    <row r="199">
      <c r="A199" s="58" t="s">
        <v>1136</v>
      </c>
      <c r="B199" s="59">
        <v>5.0</v>
      </c>
      <c r="C199" s="60">
        <v>0.21944444444444444</v>
      </c>
      <c r="D199" s="61">
        <f t="array" ref="D199">IFERROR(INDIRECT("'renta'!G$"&amp;MATCH(T199,renta!$A:$A,0))*0.975-(G199*INDIRECT("'renta'!G$"&amp;MATCH(F199,renta!$A:$A,0)))/B199-IFERROR((J199*INDIRECT("'renta'!G$"&amp;MATCH(I199,renta!$A:$A,0)))/B199,0),)</f>
        <v>-23.99680325</v>
      </c>
      <c r="E199" s="41">
        <f t="shared" si="1"/>
        <v>-45.56355048</v>
      </c>
      <c r="F199" s="61" t="s">
        <v>16</v>
      </c>
      <c r="G199" s="62">
        <f t="shared" si="2"/>
        <v>42.75</v>
      </c>
      <c r="H199" s="63" t="s">
        <v>1137</v>
      </c>
      <c r="I199" s="64"/>
      <c r="J199" s="64"/>
      <c r="K199" s="64"/>
      <c r="L199" s="59" t="s">
        <v>982</v>
      </c>
      <c r="M199" s="65">
        <v>4.95</v>
      </c>
      <c r="N199" s="65">
        <v>4.5</v>
      </c>
      <c r="O199" s="66" t="s">
        <v>30</v>
      </c>
      <c r="P199" s="65">
        <v>9.0</v>
      </c>
      <c r="Q199" s="105">
        <f t="shared" si="14"/>
        <v>21</v>
      </c>
      <c r="R199" s="67">
        <f t="array" ref="R199">INDIRECT("'renta'!G$"&amp;MATCH(O199,renta!$A:$A,0))*P199</f>
        <v>333</v>
      </c>
      <c r="S199" s="68">
        <f t="shared" si="12"/>
        <v>1193.5041</v>
      </c>
      <c r="T199" s="69" t="str">
        <f t="shared" si="4"/>
        <v>HEAT</v>
      </c>
      <c r="U199" s="70">
        <f t="shared" si="5"/>
        <v>-10.2787472</v>
      </c>
      <c r="V199" s="71"/>
      <c r="W199" s="72" t="str">
        <f t="shared" si="6"/>
        <v/>
      </c>
      <c r="X199" s="72">
        <f t="shared" si="13"/>
        <v>0</v>
      </c>
      <c r="Y199" s="71">
        <v>2.0</v>
      </c>
      <c r="Z199" s="60">
        <v>0.07708333333333334</v>
      </c>
      <c r="AA199" s="85" t="s">
        <v>1138</v>
      </c>
      <c r="AB199" s="74" t="s">
        <v>1139</v>
      </c>
      <c r="AC199" s="76"/>
      <c r="AD199" s="70"/>
      <c r="AE199" s="76"/>
      <c r="AF199" s="61" t="s">
        <v>806</v>
      </c>
      <c r="AG199" s="61" t="s">
        <v>1140</v>
      </c>
      <c r="AH199" s="86">
        <v>5.0</v>
      </c>
      <c r="AI199" s="60"/>
    </row>
    <row r="200">
      <c r="A200" s="78" t="s">
        <v>1141</v>
      </c>
      <c r="B200" s="38">
        <v>8.0</v>
      </c>
      <c r="C200" s="39">
        <v>0.3333333333333333</v>
      </c>
      <c r="D200" s="40">
        <f t="array" ref="D200">IFERROR(INDIRECT("'renta'!G$"&amp;MATCH(T200,renta!$A:$A,0))*0.975-(G200*INDIRECT("'renta'!G$"&amp;MATCH(F200,renta!$A:$A,0)))/B200-IFERROR((J200*INDIRECT("'renta'!G$"&amp;MATCH(I200,renta!$A:$A,0)))/B200,0),)</f>
        <v>-23.99680325</v>
      </c>
      <c r="E200" s="41">
        <f t="shared" si="1"/>
        <v>-47.99360651</v>
      </c>
      <c r="F200" s="40" t="s">
        <v>16</v>
      </c>
      <c r="G200" s="43">
        <f t="shared" si="2"/>
        <v>68.4</v>
      </c>
      <c r="H200" s="44" t="s">
        <v>1142</v>
      </c>
      <c r="I200" s="79"/>
      <c r="J200" s="79"/>
      <c r="K200" s="79"/>
      <c r="L200" s="38" t="s">
        <v>982</v>
      </c>
      <c r="M200" s="46">
        <v>7.88</v>
      </c>
      <c r="N200" s="46">
        <v>4.5</v>
      </c>
      <c r="O200" s="42" t="s">
        <v>30</v>
      </c>
      <c r="P200" s="46">
        <v>11.0</v>
      </c>
      <c r="Q200" s="106">
        <f t="shared" si="14"/>
        <v>32</v>
      </c>
      <c r="R200" s="47">
        <f t="array" ref="R200">INDIRECT("'renta'!G$"&amp;MATCH(O200,renta!$A:$A,0))*P200</f>
        <v>407</v>
      </c>
      <c r="S200" s="48">
        <f t="shared" si="12"/>
        <v>1600.5041</v>
      </c>
      <c r="T200" s="49" t="str">
        <f t="shared" si="4"/>
        <v>HEAT</v>
      </c>
      <c r="U200" s="50">
        <f t="shared" si="5"/>
        <v>-5.970653626</v>
      </c>
      <c r="V200" s="80">
        <v>7.88</v>
      </c>
      <c r="W200" s="52">
        <f t="shared" si="6"/>
        <v>-24.36223681</v>
      </c>
      <c r="X200" s="52"/>
      <c r="Y200" s="80">
        <v>3.0</v>
      </c>
      <c r="Z200" s="39">
        <v>0.11388888888888889</v>
      </c>
      <c r="AA200" s="81" t="s">
        <v>1143</v>
      </c>
      <c r="AB200" s="82" t="s">
        <v>1144</v>
      </c>
      <c r="AC200" s="83"/>
      <c r="AD200" s="50"/>
      <c r="AE200" s="83"/>
      <c r="AF200" s="40" t="s">
        <v>806</v>
      </c>
      <c r="AG200" s="40" t="s">
        <v>1145</v>
      </c>
      <c r="AH200" s="87">
        <v>5.0</v>
      </c>
      <c r="AI200" s="39"/>
    </row>
    <row r="201">
      <c r="A201" s="58" t="s">
        <v>1146</v>
      </c>
      <c r="B201" s="59">
        <v>8.0</v>
      </c>
      <c r="C201" s="60">
        <v>0.2951388888888889</v>
      </c>
      <c r="D201" s="61">
        <f t="array" ref="D201">IFERROR(INDIRECT("'renta'!G$"&amp;MATCH(T201,renta!$A:$A,0))*0.975-(G201*INDIRECT("'renta'!G$"&amp;MATCH(F201,renta!$A:$A,0)))/B201-IFERROR((J201*INDIRECT("'renta'!G$"&amp;MATCH(I201,renta!$A:$A,0)))/B201,0),)</f>
        <v>-21.243822</v>
      </c>
      <c r="E201" s="41">
        <f t="shared" si="1"/>
        <v>-47.98604499</v>
      </c>
      <c r="F201" s="61" t="s">
        <v>16</v>
      </c>
      <c r="G201" s="62">
        <f t="shared" si="2"/>
        <v>66.1295</v>
      </c>
      <c r="H201" s="63" t="s">
        <v>1147</v>
      </c>
      <c r="I201" s="64"/>
      <c r="J201" s="64"/>
      <c r="K201" s="64"/>
      <c r="L201" s="59" t="s">
        <v>1001</v>
      </c>
      <c r="M201" s="65">
        <v>7.88</v>
      </c>
      <c r="N201" s="65">
        <v>4.5</v>
      </c>
      <c r="O201" s="66" t="s">
        <v>30</v>
      </c>
      <c r="P201" s="65">
        <v>14.0</v>
      </c>
      <c r="Q201" s="105">
        <f t="shared" si="14"/>
        <v>46</v>
      </c>
      <c r="R201" s="67">
        <f t="array" ref="R201">INDIRECT("'renta'!G$"&amp;MATCH(O201,renta!$A:$A,0))*P201</f>
        <v>518</v>
      </c>
      <c r="S201" s="68">
        <f t="shared" si="12"/>
        <v>2118.5041</v>
      </c>
      <c r="T201" s="69" t="str">
        <f t="shared" si="4"/>
        <v>HEAT</v>
      </c>
      <c r="U201" s="70">
        <f t="shared" si="5"/>
        <v>0.0145975116</v>
      </c>
      <c r="V201" s="71">
        <v>7.88</v>
      </c>
      <c r="W201" s="72">
        <f t="shared" si="6"/>
        <v>-21.56733198</v>
      </c>
      <c r="X201" s="72"/>
      <c r="Y201" s="71">
        <v>0.0</v>
      </c>
      <c r="Z201" s="60">
        <v>-0.03819444444444445</v>
      </c>
      <c r="AA201" s="85" t="s">
        <v>1148</v>
      </c>
      <c r="AB201" s="74" t="s">
        <v>1149</v>
      </c>
      <c r="AC201" s="76"/>
      <c r="AD201" s="70"/>
      <c r="AE201" s="76"/>
      <c r="AF201" s="61" t="s">
        <v>806</v>
      </c>
      <c r="AG201" s="61" t="s">
        <v>1150</v>
      </c>
      <c r="AH201" s="86">
        <v>5.0</v>
      </c>
      <c r="AI201" s="60"/>
    </row>
    <row r="202">
      <c r="A202" s="78" t="s">
        <v>1151</v>
      </c>
      <c r="B202" s="38">
        <v>8.0</v>
      </c>
      <c r="C202" s="39">
        <v>0.26666666666666666</v>
      </c>
      <c r="D202" s="40">
        <f t="array" ref="D202">IFERROR(INDIRECT("'renta'!G$"&amp;MATCH(T202,renta!$A:$A,0))*0.975-(G202*INDIRECT("'renta'!G$"&amp;MATCH(F202,renta!$A:$A,0)))/B202-IFERROR((J202*INDIRECT("'renta'!G$"&amp;MATCH(I202,renta!$A:$A,0)))/B202,0),)</f>
        <v>-18.88247825</v>
      </c>
      <c r="E202" s="41">
        <f t="shared" si="1"/>
        <v>-47.20619563</v>
      </c>
      <c r="F202" s="40" t="s">
        <v>16</v>
      </c>
      <c r="G202" s="43">
        <f t="shared" si="2"/>
        <v>64.182</v>
      </c>
      <c r="H202" s="44" t="s">
        <v>1152</v>
      </c>
      <c r="I202" s="79"/>
      <c r="J202" s="79"/>
      <c r="K202" s="79"/>
      <c r="L202" s="38" t="s">
        <v>1006</v>
      </c>
      <c r="M202" s="46">
        <v>7.88</v>
      </c>
      <c r="N202" s="46">
        <v>4.5</v>
      </c>
      <c r="O202" s="42" t="s">
        <v>30</v>
      </c>
      <c r="P202" s="46">
        <v>17.0</v>
      </c>
      <c r="Q202" s="106">
        <f t="shared" si="14"/>
        <v>63</v>
      </c>
      <c r="R202" s="47">
        <f t="array" ref="R202">INDIRECT("'renta'!G$"&amp;MATCH(O202,renta!$A:$A,0))*P202</f>
        <v>629</v>
      </c>
      <c r="S202" s="48">
        <f t="shared" si="12"/>
        <v>2747.5041</v>
      </c>
      <c r="T202" s="49" t="str">
        <f t="shared" si="4"/>
        <v>HEAT</v>
      </c>
      <c r="U202" s="50">
        <f t="shared" si="5"/>
        <v>1.239824106</v>
      </c>
      <c r="V202" s="80">
        <v>7.88</v>
      </c>
      <c r="W202" s="52">
        <f t="shared" si="6"/>
        <v>-19.17002868</v>
      </c>
      <c r="X202" s="52">
        <f t="shared" ref="X202:X211" si="15">(W202-W201)/R202*100000</f>
        <v>381.1293004</v>
      </c>
      <c r="Y202" s="80">
        <v>0.0</v>
      </c>
      <c r="Z202" s="39">
        <v>-0.02847222222222222</v>
      </c>
      <c r="AA202" s="81" t="s">
        <v>1153</v>
      </c>
      <c r="AB202" s="82" t="s">
        <v>1154</v>
      </c>
      <c r="AC202" s="83"/>
      <c r="AD202" s="50"/>
      <c r="AE202" s="83"/>
      <c r="AF202" s="40" t="s">
        <v>806</v>
      </c>
      <c r="AG202" s="40" t="s">
        <v>1155</v>
      </c>
      <c r="AH202" s="87">
        <v>5.0</v>
      </c>
      <c r="AI202" s="39"/>
    </row>
    <row r="203">
      <c r="A203" s="58" t="s">
        <v>1156</v>
      </c>
      <c r="B203" s="59">
        <v>8.0</v>
      </c>
      <c r="C203" s="60">
        <v>0.24444444444444444</v>
      </c>
      <c r="D203" s="61">
        <f t="array" ref="D203">IFERROR(INDIRECT("'renta'!G$"&amp;MATCH(T203,renta!$A:$A,0))*0.975-(G203*INDIRECT("'renta'!G$"&amp;MATCH(F203,renta!$A:$A,0)))/B203-IFERROR((J203*INDIRECT("'renta'!G$"&amp;MATCH(I203,renta!$A:$A,0)))/B203,0),)</f>
        <v>-16.820622</v>
      </c>
      <c r="E203" s="41">
        <f t="shared" si="1"/>
        <v>-45.87442364</v>
      </c>
      <c r="F203" s="61" t="s">
        <v>16</v>
      </c>
      <c r="G203" s="62">
        <f t="shared" si="2"/>
        <v>62.4815</v>
      </c>
      <c r="H203" s="63" t="s">
        <v>1157</v>
      </c>
      <c r="I203" s="64"/>
      <c r="J203" s="64"/>
      <c r="K203" s="64"/>
      <c r="L203" s="59" t="s">
        <v>1012</v>
      </c>
      <c r="M203" s="65">
        <v>7.88</v>
      </c>
      <c r="N203" s="65">
        <v>4.5</v>
      </c>
      <c r="O203" s="66" t="s">
        <v>30</v>
      </c>
      <c r="P203" s="65">
        <v>20.0</v>
      </c>
      <c r="Q203" s="105">
        <f t="shared" si="14"/>
        <v>83</v>
      </c>
      <c r="R203" s="67">
        <f t="array" ref="R203">INDIRECT("'renta'!G$"&amp;MATCH(O203,renta!$A:$A,0))*P203</f>
        <v>740</v>
      </c>
      <c r="S203" s="68">
        <f t="shared" si="12"/>
        <v>3487.5041</v>
      </c>
      <c r="T203" s="69" t="str">
        <f t="shared" si="4"/>
        <v>HEAT</v>
      </c>
      <c r="U203" s="70">
        <f t="shared" si="5"/>
        <v>1.799691876</v>
      </c>
      <c r="V203" s="71">
        <v>7.88</v>
      </c>
      <c r="W203" s="72">
        <f t="shared" si="6"/>
        <v>-17.07677361</v>
      </c>
      <c r="X203" s="72">
        <f t="shared" si="15"/>
        <v>282.8723076</v>
      </c>
      <c r="Y203" s="71">
        <v>0.0</v>
      </c>
      <c r="Z203" s="60">
        <v>-0.022222222222222223</v>
      </c>
      <c r="AA203" s="85" t="s">
        <v>1158</v>
      </c>
      <c r="AB203" s="74" t="s">
        <v>1159</v>
      </c>
      <c r="AC203" s="76"/>
      <c r="AD203" s="70"/>
      <c r="AE203" s="76"/>
      <c r="AF203" s="61" t="s">
        <v>806</v>
      </c>
      <c r="AG203" s="61" t="s">
        <v>1160</v>
      </c>
      <c r="AH203" s="86">
        <v>5.0</v>
      </c>
      <c r="AI203" s="60"/>
    </row>
    <row r="204">
      <c r="A204" s="78" t="s">
        <v>1161</v>
      </c>
      <c r="B204" s="38">
        <v>8.0</v>
      </c>
      <c r="C204" s="39">
        <v>0.22708333333333333</v>
      </c>
      <c r="D204" s="40">
        <f t="array" ref="D204">IFERROR(INDIRECT("'renta'!G$"&amp;MATCH(T204,renta!$A:$A,0))*0.975-(G204*INDIRECT("'renta'!G$"&amp;MATCH(F204,renta!$A:$A,0)))/B204-IFERROR((J204*INDIRECT("'renta'!G$"&amp;MATCH(I204,renta!$A:$A,0)))/B204,0),)</f>
        <v>-15.023697</v>
      </c>
      <c r="E204" s="41">
        <f t="shared" si="1"/>
        <v>-44.10626643</v>
      </c>
      <c r="F204" s="40" t="s">
        <v>16</v>
      </c>
      <c r="G204" s="43">
        <f t="shared" si="2"/>
        <v>60.9995</v>
      </c>
      <c r="H204" s="44" t="s">
        <v>1162</v>
      </c>
      <c r="I204" s="107">
        <v>150.0</v>
      </c>
      <c r="J204" s="79"/>
      <c r="K204" s="79"/>
      <c r="L204" s="38" t="s">
        <v>1018</v>
      </c>
      <c r="M204" s="46">
        <v>7.88</v>
      </c>
      <c r="N204" s="46">
        <v>4.5</v>
      </c>
      <c r="O204" s="42" t="s">
        <v>30</v>
      </c>
      <c r="P204" s="46">
        <v>24.0</v>
      </c>
      <c r="Q204" s="106">
        <f t="shared" si="14"/>
        <v>107</v>
      </c>
      <c r="R204" s="47">
        <f t="array" ref="R204">INDIRECT("'renta'!G$"&amp;MATCH(O204,renta!$A:$A,0))*P204</f>
        <v>888</v>
      </c>
      <c r="S204" s="48">
        <f t="shared" si="12"/>
        <v>4375.5041</v>
      </c>
      <c r="T204" s="49" t="str">
        <f t="shared" si="4"/>
        <v>HEAT</v>
      </c>
      <c r="U204" s="50">
        <f t="shared" si="5"/>
        <v>1.991168033</v>
      </c>
      <c r="V204" s="80">
        <v>7.88</v>
      </c>
      <c r="W204" s="52">
        <f t="shared" si="6"/>
        <v>-15.25248427</v>
      </c>
      <c r="X204" s="52">
        <f t="shared" si="15"/>
        <v>205.4379888</v>
      </c>
      <c r="Y204" s="80">
        <v>0.0</v>
      </c>
      <c r="Z204" s="39">
        <v>-0.017361111111111112</v>
      </c>
      <c r="AA204" s="81" t="s">
        <v>1163</v>
      </c>
      <c r="AB204" s="82" t="s">
        <v>1164</v>
      </c>
      <c r="AC204" s="83"/>
      <c r="AD204" s="50"/>
      <c r="AE204" s="83"/>
      <c r="AF204" s="40" t="s">
        <v>806</v>
      </c>
      <c r="AG204" s="40" t="s">
        <v>1165</v>
      </c>
      <c r="AH204" s="87">
        <v>5.0</v>
      </c>
      <c r="AI204" s="39"/>
    </row>
    <row r="205">
      <c r="A205" s="58" t="s">
        <v>1166</v>
      </c>
      <c r="B205" s="59">
        <v>8.0</v>
      </c>
      <c r="C205" s="60">
        <v>0.2125</v>
      </c>
      <c r="D205" s="61">
        <f t="array" ref="D205">IFERROR(INDIRECT("'renta'!G$"&amp;MATCH(T205,renta!$A:$A,0))*0.975-(G205*INDIRECT("'renta'!G$"&amp;MATCH(F205,renta!$A:$A,0)))/B205-IFERROR((J205*INDIRECT("'renta'!G$"&amp;MATCH(I205,renta!$A:$A,0)))/B205,0),)</f>
        <v>-13.411072</v>
      </c>
      <c r="E205" s="41">
        <f t="shared" si="1"/>
        <v>-42.07395138</v>
      </c>
      <c r="F205" s="61" t="s">
        <v>16</v>
      </c>
      <c r="G205" s="62">
        <f t="shared" si="2"/>
        <v>59.6695</v>
      </c>
      <c r="H205" s="63" t="s">
        <v>1167</v>
      </c>
      <c r="I205" s="108">
        <v>106.0</v>
      </c>
      <c r="J205" s="64"/>
      <c r="K205" s="64"/>
      <c r="L205" s="59" t="s">
        <v>1024</v>
      </c>
      <c r="M205" s="65">
        <v>7.88</v>
      </c>
      <c r="N205" s="65">
        <v>4.5</v>
      </c>
      <c r="O205" s="66" t="s">
        <v>30</v>
      </c>
      <c r="P205" s="65">
        <v>29.0</v>
      </c>
      <c r="Q205" s="105">
        <f t="shared" si="14"/>
        <v>136</v>
      </c>
      <c r="R205" s="67">
        <f t="array" ref="R205">INDIRECT("'renta'!G$"&amp;MATCH(O205,renta!$A:$A,0))*P205</f>
        <v>1073</v>
      </c>
      <c r="S205" s="68">
        <f t="shared" si="12"/>
        <v>5448.5041</v>
      </c>
      <c r="T205" s="69" t="str">
        <f t="shared" si="4"/>
        <v>HEAT</v>
      </c>
      <c r="U205" s="70">
        <f t="shared" si="5"/>
        <v>1.89404944</v>
      </c>
      <c r="V205" s="71">
        <v>7.88</v>
      </c>
      <c r="W205" s="72">
        <f t="shared" si="6"/>
        <v>-13.61530153</v>
      </c>
      <c r="X205" s="72">
        <f t="shared" si="15"/>
        <v>152.5799386</v>
      </c>
      <c r="Y205" s="71">
        <v>0.0</v>
      </c>
      <c r="Z205" s="60">
        <v>-0.014583333333333334</v>
      </c>
      <c r="AA205" s="85" t="s">
        <v>1168</v>
      </c>
      <c r="AB205" s="74" t="s">
        <v>1169</v>
      </c>
      <c r="AC205" s="76"/>
      <c r="AD205" s="70"/>
      <c r="AE205" s="76"/>
      <c r="AF205" s="61" t="s">
        <v>806</v>
      </c>
      <c r="AG205" s="61" t="s">
        <v>1170</v>
      </c>
      <c r="AH205" s="86">
        <v>5.0</v>
      </c>
      <c r="AI205" s="60"/>
    </row>
    <row r="206">
      <c r="A206" s="78" t="s">
        <v>1171</v>
      </c>
      <c r="B206" s="38">
        <v>8.0</v>
      </c>
      <c r="C206" s="39">
        <v>0.2</v>
      </c>
      <c r="D206" s="40">
        <f t="array" ref="D206">IFERROR(INDIRECT("'renta'!G$"&amp;MATCH(T206,renta!$A:$A,0))*0.975-(G206*INDIRECT("'renta'!G$"&amp;MATCH(F206,renta!$A:$A,0)))/B206-IFERROR((J206*INDIRECT("'renta'!G$"&amp;MATCH(I206,renta!$A:$A,0)))/B206,0),)</f>
        <v>-11.97122825</v>
      </c>
      <c r="E206" s="41">
        <f t="shared" si="1"/>
        <v>-39.90409418</v>
      </c>
      <c r="F206" s="40" t="s">
        <v>16</v>
      </c>
      <c r="G206" s="43">
        <f t="shared" si="2"/>
        <v>58.482</v>
      </c>
      <c r="H206" s="44" t="s">
        <v>1172</v>
      </c>
      <c r="I206" s="79"/>
      <c r="J206" s="79"/>
      <c r="K206" s="79"/>
      <c r="L206" s="38" t="s">
        <v>1029</v>
      </c>
      <c r="M206" s="46">
        <v>7.88</v>
      </c>
      <c r="N206" s="46">
        <v>4.5</v>
      </c>
      <c r="O206" s="42" t="s">
        <v>30</v>
      </c>
      <c r="P206" s="46">
        <v>35.0</v>
      </c>
      <c r="Q206" s="106">
        <f t="shared" si="14"/>
        <v>171</v>
      </c>
      <c r="R206" s="47">
        <f t="array" ref="R206">INDIRECT("'renta'!G$"&amp;MATCH(O206,renta!$A:$A,0))*P206</f>
        <v>1295</v>
      </c>
      <c r="S206" s="48">
        <f t="shared" si="12"/>
        <v>6743.5041</v>
      </c>
      <c r="T206" s="49" t="str">
        <f t="shared" si="4"/>
        <v>HEAT</v>
      </c>
      <c r="U206" s="50">
        <f t="shared" si="5"/>
        <v>1.67556541</v>
      </c>
      <c r="V206" s="80">
        <v>7.88</v>
      </c>
      <c r="W206" s="52">
        <f t="shared" si="6"/>
        <v>-12.15353122</v>
      </c>
      <c r="X206" s="52">
        <f t="shared" si="15"/>
        <v>112.8780158</v>
      </c>
      <c r="Y206" s="80">
        <v>0.0</v>
      </c>
      <c r="Z206" s="39">
        <v>-0.0125</v>
      </c>
      <c r="AA206" s="81" t="s">
        <v>1054</v>
      </c>
      <c r="AB206" s="82" t="s">
        <v>1173</v>
      </c>
      <c r="AC206" s="83"/>
      <c r="AD206" s="50"/>
      <c r="AE206" s="83"/>
      <c r="AF206" s="40" t="s">
        <v>806</v>
      </c>
      <c r="AG206" s="40" t="s">
        <v>1174</v>
      </c>
      <c r="AH206" s="87">
        <v>5.0</v>
      </c>
      <c r="AI206" s="39"/>
    </row>
    <row r="207">
      <c r="A207" s="58" t="s">
        <v>1175</v>
      </c>
      <c r="B207" s="59">
        <v>8.0</v>
      </c>
      <c r="C207" s="60">
        <v>0.19027777777777777</v>
      </c>
      <c r="D207" s="61">
        <f t="array" ref="D207">IFERROR(INDIRECT("'renta'!G$"&amp;MATCH(T207,renta!$A:$A,0))*0.975-(G207*INDIRECT("'renta'!G$"&amp;MATCH(F207,renta!$A:$A,0)))/B207-IFERROR((J207*INDIRECT("'renta'!G$"&amp;MATCH(I207,renta!$A:$A,0)))/B207,0),)</f>
        <v>-10.6696095</v>
      </c>
      <c r="E207" s="41">
        <f t="shared" si="1"/>
        <v>-37.38257344</v>
      </c>
      <c r="F207" s="61" t="s">
        <v>16</v>
      </c>
      <c r="G207" s="62">
        <f t="shared" si="2"/>
        <v>57.4085</v>
      </c>
      <c r="H207" s="63" t="s">
        <v>1176</v>
      </c>
      <c r="I207" s="64"/>
      <c r="J207" s="64"/>
      <c r="K207" s="64"/>
      <c r="L207" s="59" t="s">
        <v>1035</v>
      </c>
      <c r="M207" s="65">
        <v>7.88</v>
      </c>
      <c r="N207" s="65">
        <v>4.5</v>
      </c>
      <c r="O207" s="66" t="s">
        <v>30</v>
      </c>
      <c r="P207" s="65">
        <v>42.0</v>
      </c>
      <c r="Q207" s="105">
        <f t="shared" si="14"/>
        <v>213</v>
      </c>
      <c r="R207" s="67">
        <f t="array" ref="R207">INDIRECT("'renta'!G$"&amp;MATCH(O207,renta!$A:$A,0))*P207</f>
        <v>1554</v>
      </c>
      <c r="S207" s="68">
        <f t="shared" si="12"/>
        <v>8297.5041</v>
      </c>
      <c r="T207" s="69" t="str">
        <f t="shared" si="4"/>
        <v>HEAT</v>
      </c>
      <c r="U207" s="70">
        <f t="shared" si="5"/>
        <v>1.622600216</v>
      </c>
      <c r="V207" s="71">
        <v>7.88</v>
      </c>
      <c r="W207" s="72">
        <f t="shared" si="6"/>
        <v>-10.83209087</v>
      </c>
      <c r="X207" s="72">
        <f t="shared" si="15"/>
        <v>85.0347719</v>
      </c>
      <c r="Y207" s="71">
        <v>0.0</v>
      </c>
      <c r="Z207" s="60">
        <v>-0.009722222222222222</v>
      </c>
      <c r="AA207" s="85" t="s">
        <v>1177</v>
      </c>
      <c r="AB207" s="74" t="s">
        <v>1178</v>
      </c>
      <c r="AC207" s="76"/>
      <c r="AD207" s="70"/>
      <c r="AE207" s="76"/>
      <c r="AF207" s="61" t="s">
        <v>806</v>
      </c>
      <c r="AG207" s="61" t="s">
        <v>1179</v>
      </c>
      <c r="AH207" s="86">
        <v>5.0</v>
      </c>
      <c r="AI207" s="60"/>
    </row>
    <row r="208">
      <c r="A208" s="78" t="s">
        <v>1180</v>
      </c>
      <c r="B208" s="38">
        <v>8.0</v>
      </c>
      <c r="C208" s="39">
        <v>0.18125</v>
      </c>
      <c r="D208" s="40">
        <f t="array" ref="D208">IFERROR(INDIRECT("'renta'!G$"&amp;MATCH(T208,renta!$A:$A,0))*0.975-(G208*INDIRECT("'renta'!G$"&amp;MATCH(F208,renta!$A:$A,0)))/B208-IFERROR((J208*INDIRECT("'renta'!G$"&amp;MATCH(I208,renta!$A:$A,0)))/B208,0),)</f>
        <v>-9.494697003</v>
      </c>
      <c r="E208" s="41">
        <f t="shared" si="1"/>
        <v>-34.92302346</v>
      </c>
      <c r="F208" s="40" t="s">
        <v>16</v>
      </c>
      <c r="G208" s="43">
        <f t="shared" si="2"/>
        <v>56.4395</v>
      </c>
      <c r="H208" s="44" t="s">
        <v>1181</v>
      </c>
      <c r="I208" s="79"/>
      <c r="J208" s="79"/>
      <c r="K208" s="79"/>
      <c r="L208" s="38" t="s">
        <v>1041</v>
      </c>
      <c r="M208" s="46">
        <v>7.88</v>
      </c>
      <c r="N208" s="46">
        <v>4.5</v>
      </c>
      <c r="O208" s="42" t="s">
        <v>34</v>
      </c>
      <c r="P208" s="46">
        <v>17.0</v>
      </c>
      <c r="Q208" s="106">
        <f t="shared" ref="Q208:Q221" si="16">SUM(P$208:P208)</f>
        <v>17</v>
      </c>
      <c r="R208" s="47">
        <f t="array" ref="R208">INDIRECT("'renta'!G$"&amp;MATCH(O208,renta!$A:$A,0))*P208</f>
        <v>2255.596601</v>
      </c>
      <c r="S208" s="48">
        <f t="shared" si="12"/>
        <v>10553.1007</v>
      </c>
      <c r="T208" s="49" t="str">
        <f t="shared" si="4"/>
        <v>HEAT</v>
      </c>
      <c r="U208" s="50">
        <f t="shared" si="5"/>
        <v>1.090421036</v>
      </c>
      <c r="V208" s="80">
        <v>7.88</v>
      </c>
      <c r="W208" s="52">
        <f t="shared" si="6"/>
        <v>-9.639286297</v>
      </c>
      <c r="X208" s="52">
        <f t="shared" si="15"/>
        <v>52.88199884</v>
      </c>
      <c r="Y208" s="80">
        <v>0.0</v>
      </c>
      <c r="Z208" s="39">
        <v>-0.009027777777777777</v>
      </c>
      <c r="AA208" s="81" t="s">
        <v>1182</v>
      </c>
      <c r="AB208" s="82" t="s">
        <v>1183</v>
      </c>
      <c r="AC208" s="83"/>
      <c r="AD208" s="50"/>
      <c r="AE208" s="83"/>
      <c r="AF208" s="40" t="s">
        <v>806</v>
      </c>
      <c r="AG208" s="40" t="s">
        <v>1184</v>
      </c>
      <c r="AH208" s="87">
        <v>5.0</v>
      </c>
      <c r="AI208" s="39"/>
    </row>
    <row r="209">
      <c r="A209" s="58" t="s">
        <v>1185</v>
      </c>
      <c r="B209" s="59">
        <v>8.0</v>
      </c>
      <c r="C209" s="60">
        <v>0.1736111111111111</v>
      </c>
      <c r="D209" s="61">
        <f t="array" ref="D209">IFERROR(INDIRECT("'renta'!G$"&amp;MATCH(T209,renta!$A:$A,0))*0.975-(G209*INDIRECT("'renta'!G$"&amp;MATCH(F209,renta!$A:$A,0)))/B209-IFERROR((J209*INDIRECT("'renta'!G$"&amp;MATCH(I209,renta!$A:$A,0)))/B209,0),)</f>
        <v>-8.411934503</v>
      </c>
      <c r="E209" s="41">
        <f t="shared" si="1"/>
        <v>-32.30182849</v>
      </c>
      <c r="F209" s="61" t="s">
        <v>16</v>
      </c>
      <c r="G209" s="62">
        <f t="shared" si="2"/>
        <v>55.5465</v>
      </c>
      <c r="H209" s="63" t="s">
        <v>1186</v>
      </c>
      <c r="I209" s="64"/>
      <c r="J209" s="64"/>
      <c r="K209" s="64"/>
      <c r="L209" s="59" t="s">
        <v>1047</v>
      </c>
      <c r="M209" s="65">
        <v>7.88</v>
      </c>
      <c r="N209" s="65">
        <v>4.5</v>
      </c>
      <c r="O209" s="66" t="s">
        <v>34</v>
      </c>
      <c r="P209" s="65">
        <v>20.0</v>
      </c>
      <c r="Q209" s="105">
        <f t="shared" si="16"/>
        <v>37</v>
      </c>
      <c r="R209" s="67">
        <f t="array" ref="R209">INDIRECT("'renta'!G$"&amp;MATCH(O209,renta!$A:$A,0))*P209</f>
        <v>2653.64306</v>
      </c>
      <c r="S209" s="68">
        <f t="shared" si="12"/>
        <v>13206.74376</v>
      </c>
      <c r="T209" s="69" t="str">
        <f t="shared" si="4"/>
        <v>HEAT</v>
      </c>
      <c r="U209" s="70">
        <f t="shared" si="5"/>
        <v>0.9877722468</v>
      </c>
      <c r="V209" s="71">
        <v>7.88</v>
      </c>
      <c r="W209" s="72">
        <f t="shared" si="6"/>
        <v>-8.540035028</v>
      </c>
      <c r="X209" s="72">
        <f t="shared" si="15"/>
        <v>41.42423243</v>
      </c>
      <c r="Y209" s="71">
        <v>0.0</v>
      </c>
      <c r="Z209" s="60">
        <v>-0.007638888888888889</v>
      </c>
      <c r="AA209" s="85" t="s">
        <v>1187</v>
      </c>
      <c r="AB209" s="74" t="s">
        <v>1188</v>
      </c>
      <c r="AC209" s="76"/>
      <c r="AD209" s="70"/>
      <c r="AE209" s="76"/>
      <c r="AF209" s="61" t="s">
        <v>806</v>
      </c>
      <c r="AG209" s="61" t="s">
        <v>1189</v>
      </c>
      <c r="AH209" s="86">
        <v>5.0</v>
      </c>
      <c r="AI209" s="60"/>
    </row>
    <row r="210">
      <c r="A210" s="78" t="s">
        <v>1190</v>
      </c>
      <c r="B210" s="38">
        <v>8.0</v>
      </c>
      <c r="C210" s="39">
        <v>0.16666666666666666</v>
      </c>
      <c r="D210" s="40">
        <f t="array" ref="D210">IFERROR(INDIRECT("'renta'!G$"&amp;MATCH(T210,renta!$A:$A,0))*0.975-(G210*INDIRECT("'renta'!G$"&amp;MATCH(F210,renta!$A:$A,0)))/B210-IFERROR((J210*INDIRECT("'renta'!G$"&amp;MATCH(I210,renta!$A:$A,0)))/B210,0),)</f>
        <v>-7.409803253</v>
      </c>
      <c r="E210" s="41">
        <f t="shared" si="1"/>
        <v>-29.63921301</v>
      </c>
      <c r="F210" s="40" t="s">
        <v>16</v>
      </c>
      <c r="G210" s="43">
        <f t="shared" si="2"/>
        <v>54.72</v>
      </c>
      <c r="H210" s="44" t="s">
        <v>1191</v>
      </c>
      <c r="I210" s="79"/>
      <c r="J210" s="79"/>
      <c r="K210" s="79"/>
      <c r="L210" s="38" t="s">
        <v>1053</v>
      </c>
      <c r="M210" s="46">
        <v>7.88</v>
      </c>
      <c r="N210" s="46">
        <v>4.5</v>
      </c>
      <c r="O210" s="42" t="s">
        <v>34</v>
      </c>
      <c r="P210" s="46">
        <v>24.0</v>
      </c>
      <c r="Q210" s="106">
        <f t="shared" si="16"/>
        <v>61</v>
      </c>
      <c r="R210" s="47">
        <f t="array" ref="R210">INDIRECT("'renta'!G$"&amp;MATCH(O210,renta!$A:$A,0))*P210</f>
        <v>3184.371672</v>
      </c>
      <c r="S210" s="48">
        <f t="shared" si="12"/>
        <v>16391.11543</v>
      </c>
      <c r="T210" s="49" t="str">
        <f t="shared" si="4"/>
        <v>HEAT</v>
      </c>
      <c r="U210" s="50">
        <f t="shared" si="5"/>
        <v>0.8361509753</v>
      </c>
      <c r="V210" s="80">
        <v>7.88</v>
      </c>
      <c r="W210" s="52">
        <f t="shared" si="6"/>
        <v>-7.522642896</v>
      </c>
      <c r="X210" s="52">
        <f t="shared" si="15"/>
        <v>31.94954097</v>
      </c>
      <c r="Y210" s="80">
        <v>0.0</v>
      </c>
      <c r="Z210" s="39">
        <v>-0.006944444444444444</v>
      </c>
      <c r="AA210" s="81" t="s">
        <v>1192</v>
      </c>
      <c r="AB210" s="82" t="s">
        <v>1193</v>
      </c>
      <c r="AC210" s="83"/>
      <c r="AD210" s="50"/>
      <c r="AE210" s="83"/>
      <c r="AF210" s="40" t="s">
        <v>806</v>
      </c>
      <c r="AG210" s="40" t="s">
        <v>1194</v>
      </c>
      <c r="AH210" s="87">
        <v>5.0</v>
      </c>
      <c r="AI210" s="39"/>
    </row>
    <row r="211">
      <c r="A211" s="58" t="s">
        <v>1195</v>
      </c>
      <c r="B211" s="59">
        <v>10.0</v>
      </c>
      <c r="C211" s="60">
        <v>0.19166666666666668</v>
      </c>
      <c r="D211" s="61">
        <f t="array" ref="D211">IFERROR(INDIRECT("'renta'!G$"&amp;MATCH(T211,renta!$A:$A,0))*0.975-(G211*INDIRECT("'renta'!G$"&amp;MATCH(F211,renta!$A:$A,0)))/B211-IFERROR((J211*INDIRECT("'renta'!G$"&amp;MATCH(I211,renta!$A:$A,0)))/B211,0),)</f>
        <v>-7.409803253</v>
      </c>
      <c r="E211" s="41">
        <f t="shared" si="1"/>
        <v>-32.21653588</v>
      </c>
      <c r="F211" s="61" t="s">
        <v>16</v>
      </c>
      <c r="G211" s="62">
        <f t="shared" si="2"/>
        <v>68.4</v>
      </c>
      <c r="H211" s="63" t="s">
        <v>1142</v>
      </c>
      <c r="I211" s="64"/>
      <c r="J211" s="64"/>
      <c r="K211" s="64"/>
      <c r="L211" s="59" t="s">
        <v>1053</v>
      </c>
      <c r="M211" s="65">
        <v>9.8</v>
      </c>
      <c r="N211" s="65">
        <v>4.5</v>
      </c>
      <c r="O211" s="66" t="s">
        <v>34</v>
      </c>
      <c r="P211" s="65">
        <v>28.0</v>
      </c>
      <c r="Q211" s="105">
        <f t="shared" si="16"/>
        <v>89</v>
      </c>
      <c r="R211" s="67">
        <f t="array" ref="R211">INDIRECT("'renta'!G$"&amp;MATCH(O211,renta!$A:$A,0))*P211</f>
        <v>3715.100284</v>
      </c>
      <c r="S211" s="68">
        <f t="shared" si="12"/>
        <v>20106.21572</v>
      </c>
      <c r="T211" s="69" t="str">
        <f t="shared" si="4"/>
        <v>HEAT</v>
      </c>
      <c r="U211" s="109">
        <f t="shared" si="5"/>
        <v>-0.6937424762</v>
      </c>
      <c r="V211" s="71">
        <v>9.8</v>
      </c>
      <c r="W211" s="72">
        <f t="shared" si="6"/>
        <v>-7.561023727</v>
      </c>
      <c r="X211" s="72">
        <f t="shared" si="15"/>
        <v>-1.033103501</v>
      </c>
      <c r="Y211" s="71">
        <v>2.0</v>
      </c>
      <c r="Z211" s="60">
        <v>0.025</v>
      </c>
      <c r="AA211" s="85" t="s">
        <v>1196</v>
      </c>
      <c r="AB211" s="74" t="s">
        <v>1197</v>
      </c>
      <c r="AC211" s="76"/>
      <c r="AD211" s="70"/>
      <c r="AE211" s="76"/>
      <c r="AF211" s="61" t="s">
        <v>806</v>
      </c>
      <c r="AG211" s="61" t="s">
        <v>1198</v>
      </c>
      <c r="AH211" s="86">
        <v>5.0</v>
      </c>
      <c r="AI211" s="60"/>
    </row>
    <row r="212">
      <c r="A212" s="78" t="s">
        <v>1199</v>
      </c>
      <c r="B212" s="38">
        <v>13.0</v>
      </c>
      <c r="C212" s="39">
        <v>0.23333333333333334</v>
      </c>
      <c r="D212" s="40">
        <f t="array" ref="D212">IFERROR(INDIRECT("'renta'!G$"&amp;MATCH(T212,renta!$A:$A,0))*0.975-(G212*INDIRECT("'renta'!G$"&amp;MATCH(F212,renta!$A:$A,0)))/B212-IFERROR((J212*INDIRECT("'renta'!G$"&amp;MATCH(I212,renta!$A:$A,0)))/B212,0),)</f>
        <v>-7.409803253</v>
      </c>
      <c r="E212" s="41">
        <f t="shared" si="1"/>
        <v>-34.40265796</v>
      </c>
      <c r="F212" s="40" t="s">
        <v>16</v>
      </c>
      <c r="G212" s="43">
        <f t="shared" si="2"/>
        <v>88.92</v>
      </c>
      <c r="H212" s="44" t="s">
        <v>1200</v>
      </c>
      <c r="I212" s="79"/>
      <c r="J212" s="79"/>
      <c r="K212" s="79"/>
      <c r="L212" s="38" t="s">
        <v>1053</v>
      </c>
      <c r="M212" s="46">
        <v>12.675</v>
      </c>
      <c r="N212" s="46">
        <v>4.5</v>
      </c>
      <c r="O212" s="42" t="s">
        <v>34</v>
      </c>
      <c r="P212" s="46">
        <v>33.0</v>
      </c>
      <c r="Q212" s="106">
        <f t="shared" si="16"/>
        <v>122</v>
      </c>
      <c r="R212" s="47">
        <f t="array" ref="R212">INDIRECT("'renta'!G$"&amp;MATCH(O212,renta!$A:$A,0))*P212</f>
        <v>4378.511049</v>
      </c>
      <c r="S212" s="48">
        <f t="shared" si="12"/>
        <v>24484.72677</v>
      </c>
      <c r="T212" s="49" t="str">
        <f t="shared" si="4"/>
        <v>HEAT</v>
      </c>
      <c r="U212" s="50">
        <f t="shared" si="5"/>
        <v>-0.4992843579</v>
      </c>
      <c r="V212" s="80"/>
      <c r="W212" s="52" t="str">
        <f t="shared" si="6"/>
        <v/>
      </c>
      <c r="X212" s="52"/>
      <c r="Y212" s="80">
        <v>3.0</v>
      </c>
      <c r="Z212" s="39">
        <v>0.041666666666666664</v>
      </c>
      <c r="AA212" s="81" t="s">
        <v>1201</v>
      </c>
      <c r="AB212" s="82" t="s">
        <v>1202</v>
      </c>
      <c r="AC212" s="83"/>
      <c r="AD212" s="50"/>
      <c r="AE212" s="83"/>
      <c r="AF212" s="40" t="s">
        <v>806</v>
      </c>
      <c r="AG212" s="40" t="s">
        <v>1203</v>
      </c>
      <c r="AH212" s="87">
        <v>5.0</v>
      </c>
      <c r="AI212" s="39"/>
    </row>
    <row r="213">
      <c r="A213" s="58" t="s">
        <v>1204</v>
      </c>
      <c r="B213" s="59">
        <v>17.0</v>
      </c>
      <c r="C213" s="60">
        <v>0.28958333333333336</v>
      </c>
      <c r="D213" s="61">
        <f t="array" ref="D213">IFERROR(INDIRECT("'renta'!G$"&amp;MATCH(T213,renta!$A:$A,0))*0.975-(G213*INDIRECT("'renta'!G$"&amp;MATCH(F213,renta!$A:$A,0)))/B213-IFERROR((J213*INDIRECT("'renta'!G$"&amp;MATCH(I213,renta!$A:$A,0)))/B213,0),)</f>
        <v>-7.409803253</v>
      </c>
      <c r="E213" s="41">
        <f t="shared" si="1"/>
        <v>-36.24939721</v>
      </c>
      <c r="F213" s="61" t="s">
        <v>16</v>
      </c>
      <c r="G213" s="62">
        <f t="shared" si="2"/>
        <v>116.28</v>
      </c>
      <c r="H213" s="63" t="s">
        <v>1205</v>
      </c>
      <c r="I213" s="64"/>
      <c r="J213" s="64"/>
      <c r="K213" s="64"/>
      <c r="L213" s="59" t="s">
        <v>1053</v>
      </c>
      <c r="M213" s="65">
        <v>16.575</v>
      </c>
      <c r="N213" s="65">
        <v>4.5</v>
      </c>
      <c r="O213" s="66" t="s">
        <v>34</v>
      </c>
      <c r="P213" s="65">
        <v>39.0</v>
      </c>
      <c r="Q213" s="105">
        <f t="shared" si="16"/>
        <v>161</v>
      </c>
      <c r="R213" s="67">
        <f t="array" ref="R213">INDIRECT("'renta'!G$"&amp;MATCH(O213,renta!$A:$A,0))*P213</f>
        <v>5174.603967</v>
      </c>
      <c r="S213" s="68">
        <f t="shared" si="12"/>
        <v>29659.33073</v>
      </c>
      <c r="T213" s="69" t="str">
        <f t="shared" si="4"/>
        <v>HEAT</v>
      </c>
      <c r="U213" s="70">
        <f t="shared" si="5"/>
        <v>-0.3568851375</v>
      </c>
      <c r="V213" s="71"/>
      <c r="W213" s="72" t="str">
        <f t="shared" si="6"/>
        <v/>
      </c>
      <c r="X213" s="72">
        <f t="shared" ref="X213:X221" si="17">(W213-W212)/R213*100000</f>
        <v>0</v>
      </c>
      <c r="Y213" s="71">
        <v>4.0</v>
      </c>
      <c r="Z213" s="60">
        <v>0.05625</v>
      </c>
      <c r="AA213" s="85" t="s">
        <v>1206</v>
      </c>
      <c r="AB213" s="74" t="s">
        <v>1207</v>
      </c>
      <c r="AC213" s="76"/>
      <c r="AD213" s="70"/>
      <c r="AE213" s="76"/>
      <c r="AF213" s="61" t="s">
        <v>806</v>
      </c>
      <c r="AG213" s="61" t="s">
        <v>1208</v>
      </c>
      <c r="AH213" s="86">
        <v>5.0</v>
      </c>
      <c r="AI213" s="60"/>
    </row>
    <row r="214">
      <c r="A214" s="78" t="s">
        <v>1209</v>
      </c>
      <c r="B214" s="38">
        <v>21.0</v>
      </c>
      <c r="C214" s="39">
        <v>0.3416666666666667</v>
      </c>
      <c r="D214" s="40">
        <f t="array" ref="D214">IFERROR(INDIRECT("'renta'!G$"&amp;MATCH(T214,renta!$A:$A,0))*0.975-(G214*INDIRECT("'renta'!G$"&amp;MATCH(F214,renta!$A:$A,0)))/B214-IFERROR((J214*INDIRECT("'renta'!G$"&amp;MATCH(I214,renta!$A:$A,0)))/B214,0),)</f>
        <v>-7.409803253</v>
      </c>
      <c r="E214" s="41">
        <f t="shared" si="1"/>
        <v>-37.95265081</v>
      </c>
      <c r="F214" s="40" t="s">
        <v>16</v>
      </c>
      <c r="G214" s="43">
        <f t="shared" si="2"/>
        <v>143.64</v>
      </c>
      <c r="H214" s="44" t="s">
        <v>1210</v>
      </c>
      <c r="I214" s="79"/>
      <c r="J214" s="79"/>
      <c r="K214" s="79"/>
      <c r="L214" s="38" t="s">
        <v>1053</v>
      </c>
      <c r="M214" s="46">
        <v>20.412</v>
      </c>
      <c r="N214" s="46">
        <v>4.5</v>
      </c>
      <c r="O214" s="42" t="s">
        <v>34</v>
      </c>
      <c r="P214" s="46">
        <v>47.0</v>
      </c>
      <c r="Q214" s="106">
        <f t="shared" si="16"/>
        <v>208</v>
      </c>
      <c r="R214" s="47">
        <f t="array" ref="R214">INDIRECT("'renta'!G$"&amp;MATCH(O214,renta!$A:$A,0))*P214</f>
        <v>6236.061192</v>
      </c>
      <c r="S214" s="48">
        <f t="shared" si="12"/>
        <v>35895.39193</v>
      </c>
      <c r="T214" s="49" t="str">
        <f t="shared" si="4"/>
        <v>HEAT</v>
      </c>
      <c r="U214" s="50">
        <f t="shared" si="5"/>
        <v>-0.2731297123</v>
      </c>
      <c r="V214" s="80"/>
      <c r="W214" s="52" t="str">
        <f t="shared" si="6"/>
        <v/>
      </c>
      <c r="X214" s="52">
        <f t="shared" si="17"/>
        <v>0</v>
      </c>
      <c r="Y214" s="80">
        <v>4.0</v>
      </c>
      <c r="Z214" s="39">
        <v>0.052083333333333336</v>
      </c>
      <c r="AA214" s="81" t="s">
        <v>1211</v>
      </c>
      <c r="AB214" s="82" t="s">
        <v>1212</v>
      </c>
      <c r="AC214" s="83"/>
      <c r="AD214" s="50"/>
      <c r="AE214" s="83"/>
      <c r="AF214" s="40" t="s">
        <v>806</v>
      </c>
      <c r="AG214" s="40" t="s">
        <v>1213</v>
      </c>
      <c r="AH214" s="87">
        <v>5.0</v>
      </c>
      <c r="AI214" s="39"/>
    </row>
    <row r="215">
      <c r="A215" s="58" t="s">
        <v>1214</v>
      </c>
      <c r="B215" s="59">
        <v>25.0</v>
      </c>
      <c r="C215" s="60">
        <v>0.3909722222222222</v>
      </c>
      <c r="D215" s="61">
        <f t="array" ref="D215">IFERROR(INDIRECT("'renta'!G$"&amp;MATCH(T215,renta!$A:$A,0))*0.975-(G215*INDIRECT("'renta'!G$"&amp;MATCH(F215,renta!$A:$A,0)))/B215-IFERROR((J215*INDIRECT("'renta'!G$"&amp;MATCH(I215,renta!$A:$A,0)))/B215,0),)</f>
        <v>-7.409803253</v>
      </c>
      <c r="E215" s="41">
        <f t="shared" si="1"/>
        <v>-39.48385392</v>
      </c>
      <c r="F215" s="61" t="s">
        <v>16</v>
      </c>
      <c r="G215" s="62">
        <f t="shared" si="2"/>
        <v>171</v>
      </c>
      <c r="H215" s="63" t="s">
        <v>1215</v>
      </c>
      <c r="I215" s="64"/>
      <c r="J215" s="64"/>
      <c r="K215" s="64"/>
      <c r="L215" s="59" t="s">
        <v>1053</v>
      </c>
      <c r="M215" s="65">
        <v>24.25</v>
      </c>
      <c r="N215" s="65">
        <v>4.5</v>
      </c>
      <c r="O215" s="66" t="s">
        <v>34</v>
      </c>
      <c r="P215" s="65">
        <v>55.0</v>
      </c>
      <c r="Q215" s="105">
        <f t="shared" si="16"/>
        <v>263</v>
      </c>
      <c r="R215" s="67">
        <f t="array" ref="R215">INDIRECT("'renta'!G$"&amp;MATCH(O215,renta!$A:$A,0))*P215</f>
        <v>7297.518416</v>
      </c>
      <c r="S215" s="68">
        <f t="shared" si="12"/>
        <v>43192.91034</v>
      </c>
      <c r="T215" s="69" t="str">
        <f t="shared" si="4"/>
        <v>HEAT</v>
      </c>
      <c r="U215" s="70">
        <f t="shared" si="5"/>
        <v>-0.2098251801</v>
      </c>
      <c r="V215" s="71"/>
      <c r="W215" s="72" t="str">
        <f t="shared" si="6"/>
        <v/>
      </c>
      <c r="X215" s="72">
        <f t="shared" si="17"/>
        <v>0</v>
      </c>
      <c r="Y215" s="71">
        <v>4.0</v>
      </c>
      <c r="Z215" s="60">
        <v>0.049305555555555554</v>
      </c>
      <c r="AA215" s="85" t="s">
        <v>1216</v>
      </c>
      <c r="AB215" s="74" t="s">
        <v>1217</v>
      </c>
      <c r="AC215" s="76"/>
      <c r="AD215" s="70"/>
      <c r="AE215" s="76"/>
      <c r="AF215" s="61" t="s">
        <v>806</v>
      </c>
      <c r="AG215" s="61" t="s">
        <v>1218</v>
      </c>
      <c r="AH215" s="86">
        <v>5.0</v>
      </c>
      <c r="AI215" s="60"/>
    </row>
    <row r="216">
      <c r="A216" s="78" t="s">
        <v>1219</v>
      </c>
      <c r="B216" s="38">
        <v>25.0</v>
      </c>
      <c r="C216" s="39">
        <v>0.37777777777777777</v>
      </c>
      <c r="D216" s="40">
        <f t="array" ref="D216">IFERROR(INDIRECT("'renta'!G$"&amp;MATCH(T216,renta!$A:$A,0))*0.975-(G216*INDIRECT("'renta'!G$"&amp;MATCH(F216,renta!$A:$A,0)))/B216-IFERROR((J216*INDIRECT("'renta'!G$"&amp;MATCH(I216,renta!$A:$A,0)))/B216,0),)</f>
        <v>-7.409803253</v>
      </c>
      <c r="E216" s="41">
        <f t="shared" si="1"/>
        <v>-40.86288559</v>
      </c>
      <c r="F216" s="40" t="s">
        <v>16</v>
      </c>
      <c r="G216" s="43">
        <f t="shared" si="2"/>
        <v>171</v>
      </c>
      <c r="H216" s="44" t="s">
        <v>1215</v>
      </c>
      <c r="I216" s="79"/>
      <c r="J216" s="79"/>
      <c r="K216" s="79"/>
      <c r="L216" s="38" t="s">
        <v>1053</v>
      </c>
      <c r="M216" s="46">
        <v>24.25</v>
      </c>
      <c r="N216" s="46">
        <v>4.5</v>
      </c>
      <c r="O216" s="42" t="s">
        <v>34</v>
      </c>
      <c r="P216" s="46">
        <v>65.0</v>
      </c>
      <c r="Q216" s="106">
        <f t="shared" si="16"/>
        <v>328</v>
      </c>
      <c r="R216" s="47">
        <f t="array" ref="R216">INDIRECT("'renta'!G$"&amp;MATCH(O216,renta!$A:$A,0))*P216</f>
        <v>8624.339946</v>
      </c>
      <c r="S216" s="48">
        <f t="shared" si="12"/>
        <v>51817.25029</v>
      </c>
      <c r="T216" s="49" t="str">
        <f t="shared" si="4"/>
        <v>HEAT</v>
      </c>
      <c r="U216" s="50">
        <f t="shared" si="5"/>
        <v>-0.1598999658</v>
      </c>
      <c r="V216" s="80"/>
      <c r="W216" s="52" t="str">
        <f t="shared" si="6"/>
        <v/>
      </c>
      <c r="X216" s="52">
        <f t="shared" si="17"/>
        <v>0</v>
      </c>
      <c r="Y216" s="80">
        <v>0.0</v>
      </c>
      <c r="Z216" s="39">
        <v>-0.013194444444444444</v>
      </c>
      <c r="AA216" s="81" t="s">
        <v>1220</v>
      </c>
      <c r="AB216" s="82" t="s">
        <v>1221</v>
      </c>
      <c r="AC216" s="83"/>
      <c r="AD216" s="50"/>
      <c r="AE216" s="83"/>
      <c r="AF216" s="40" t="s">
        <v>806</v>
      </c>
      <c r="AG216" s="40" t="s">
        <v>1222</v>
      </c>
      <c r="AH216" s="87">
        <v>5.0</v>
      </c>
      <c r="AI216" s="39"/>
    </row>
    <row r="217">
      <c r="A217" s="58" t="s">
        <v>1223</v>
      </c>
      <c r="B217" s="59">
        <v>25.0</v>
      </c>
      <c r="C217" s="60">
        <v>0.36666666666666664</v>
      </c>
      <c r="D217" s="61">
        <f t="array" ref="D217">IFERROR(INDIRECT("'renta'!G$"&amp;MATCH(T217,renta!$A:$A,0))*0.975-(G217*INDIRECT("'renta'!G$"&amp;MATCH(F217,renta!$A:$A,0)))/B217-IFERROR((J217*INDIRECT("'renta'!G$"&amp;MATCH(I217,renta!$A:$A,0)))/B217,0),)</f>
        <v>-7.409803253</v>
      </c>
      <c r="E217" s="41">
        <f t="shared" si="1"/>
        <v>-42.10115485</v>
      </c>
      <c r="F217" s="61" t="s">
        <v>16</v>
      </c>
      <c r="G217" s="62">
        <f t="shared" si="2"/>
        <v>171</v>
      </c>
      <c r="H217" s="63" t="s">
        <v>1215</v>
      </c>
      <c r="I217" s="64"/>
      <c r="J217" s="64"/>
      <c r="K217" s="64"/>
      <c r="L217" s="59" t="s">
        <v>1053</v>
      </c>
      <c r="M217" s="65">
        <v>24.25</v>
      </c>
      <c r="N217" s="65">
        <v>4.5</v>
      </c>
      <c r="O217" s="66" t="s">
        <v>34</v>
      </c>
      <c r="P217" s="65">
        <v>77.0</v>
      </c>
      <c r="Q217" s="105">
        <f t="shared" si="16"/>
        <v>405</v>
      </c>
      <c r="R217" s="67">
        <f t="array" ref="R217">INDIRECT("'renta'!G$"&amp;MATCH(O217,renta!$A:$A,0))*P217</f>
        <v>10216.52578</v>
      </c>
      <c r="S217" s="68">
        <f t="shared" si="12"/>
        <v>62033.77607</v>
      </c>
      <c r="T217" s="69" t="str">
        <f t="shared" si="4"/>
        <v>HEAT</v>
      </c>
      <c r="U217" s="70">
        <f t="shared" si="5"/>
        <v>-0.1212025777</v>
      </c>
      <c r="V217" s="71"/>
      <c r="W217" s="72" t="str">
        <f t="shared" si="6"/>
        <v/>
      </c>
      <c r="X217" s="72">
        <f t="shared" si="17"/>
        <v>0</v>
      </c>
      <c r="Y217" s="71">
        <v>0.0</v>
      </c>
      <c r="Z217" s="60">
        <v>-0.011111111111111112</v>
      </c>
      <c r="AA217" s="85" t="s">
        <v>717</v>
      </c>
      <c r="AB217" s="74" t="s">
        <v>1224</v>
      </c>
      <c r="AC217" s="76"/>
      <c r="AD217" s="70"/>
      <c r="AE217" s="76"/>
      <c r="AF217" s="61" t="s">
        <v>806</v>
      </c>
      <c r="AG217" s="61" t="s">
        <v>1225</v>
      </c>
      <c r="AH217" s="86">
        <v>5.0</v>
      </c>
      <c r="AI217" s="60"/>
    </row>
    <row r="218">
      <c r="A218" s="78" t="s">
        <v>1226</v>
      </c>
      <c r="B218" s="38">
        <v>25.0</v>
      </c>
      <c r="C218" s="39">
        <v>0.35625</v>
      </c>
      <c r="D218" s="40">
        <f t="array" ref="D218">IFERROR(INDIRECT("'renta'!G$"&amp;MATCH(T218,renta!$A:$A,0))*0.975-(G218*INDIRECT("'renta'!G$"&amp;MATCH(F218,renta!$A:$A,0)))/B218-IFERROR((J218*INDIRECT("'renta'!G$"&amp;MATCH(I218,renta!$A:$A,0)))/B218,0),)</f>
        <v>-3.498957253</v>
      </c>
      <c r="E218" s="41">
        <f t="shared" si="1"/>
        <v>-20.46173832</v>
      </c>
      <c r="F218" s="40" t="s">
        <v>16</v>
      </c>
      <c r="G218" s="43">
        <f t="shared" si="2"/>
        <v>160.9205</v>
      </c>
      <c r="H218" s="44" t="s">
        <v>1227</v>
      </c>
      <c r="I218" s="79"/>
      <c r="J218" s="79"/>
      <c r="K218" s="79"/>
      <c r="L218" s="38" t="s">
        <v>1092</v>
      </c>
      <c r="M218" s="46">
        <v>24.25</v>
      </c>
      <c r="N218" s="46">
        <v>4.5</v>
      </c>
      <c r="O218" s="42" t="s">
        <v>34</v>
      </c>
      <c r="P218" s="46">
        <v>91.0</v>
      </c>
      <c r="Q218" s="106">
        <f t="shared" si="16"/>
        <v>496</v>
      </c>
      <c r="R218" s="47">
        <f t="array" ref="R218">INDIRECT("'renta'!G$"&amp;MATCH(O218,renta!$A:$A,0))*P218</f>
        <v>12074.07592</v>
      </c>
      <c r="S218" s="48">
        <f t="shared" si="12"/>
        <v>74107.85199</v>
      </c>
      <c r="T218" s="49" t="str">
        <f t="shared" si="4"/>
        <v>HEAT</v>
      </c>
      <c r="U218" s="50">
        <f t="shared" si="5"/>
        <v>1.792221339</v>
      </c>
      <c r="V218" s="80"/>
      <c r="W218" s="52" t="str">
        <f t="shared" si="6"/>
        <v/>
      </c>
      <c r="X218" s="52">
        <f t="shared" si="17"/>
        <v>0</v>
      </c>
      <c r="Y218" s="80">
        <v>0.0</v>
      </c>
      <c r="Z218" s="39">
        <v>-0.010416666666666666</v>
      </c>
      <c r="AA218" s="81" t="s">
        <v>1110</v>
      </c>
      <c r="AB218" s="82" t="s">
        <v>1228</v>
      </c>
      <c r="AC218" s="83"/>
      <c r="AD218" s="50"/>
      <c r="AE218" s="83"/>
      <c r="AF218" s="40" t="s">
        <v>806</v>
      </c>
      <c r="AG218" s="40" t="s">
        <v>1229</v>
      </c>
      <c r="AH218" s="87">
        <v>5.0</v>
      </c>
      <c r="AI218" s="39"/>
    </row>
    <row r="219">
      <c r="A219" s="58" t="s">
        <v>1230</v>
      </c>
      <c r="B219" s="59">
        <v>25.0</v>
      </c>
      <c r="C219" s="60">
        <v>0.34791666666666665</v>
      </c>
      <c r="D219" s="61">
        <f t="array" ref="D219">IFERROR(INDIRECT("'renta'!G$"&amp;MATCH(T219,renta!$A:$A,0))*0.975-(G219*INDIRECT("'renta'!G$"&amp;MATCH(F219,renta!$A:$A,0)))/B219-IFERROR((J219*INDIRECT("'renta'!G$"&amp;MATCH(I219,renta!$A:$A,0)))/B219,0),)</f>
        <v>-0.5575292529</v>
      </c>
      <c r="E219" s="41">
        <f t="shared" si="1"/>
        <v>-3.338498521</v>
      </c>
      <c r="F219" s="61" t="s">
        <v>16</v>
      </c>
      <c r="G219" s="62">
        <f t="shared" si="2"/>
        <v>153.3395</v>
      </c>
      <c r="H219" s="63" t="s">
        <v>1231</v>
      </c>
      <c r="I219" s="64"/>
      <c r="J219" s="64"/>
      <c r="K219" s="64"/>
      <c r="L219" s="59" t="s">
        <v>1098</v>
      </c>
      <c r="M219" s="65">
        <v>24.25</v>
      </c>
      <c r="N219" s="65">
        <v>4.5</v>
      </c>
      <c r="O219" s="66" t="s">
        <v>34</v>
      </c>
      <c r="P219" s="65">
        <v>108.0</v>
      </c>
      <c r="Q219" s="105">
        <f t="shared" si="16"/>
        <v>604</v>
      </c>
      <c r="R219" s="67">
        <f t="array" ref="R219">INDIRECT("'renta'!G$"&amp;MATCH(O219,renta!$A:$A,0))*P219</f>
        <v>14329.67253</v>
      </c>
      <c r="S219" s="68">
        <f t="shared" si="12"/>
        <v>88437.52452</v>
      </c>
      <c r="T219" s="69" t="str">
        <f t="shared" si="4"/>
        <v>HEAT</v>
      </c>
      <c r="U219" s="70">
        <f t="shared" si="5"/>
        <v>1.194949834</v>
      </c>
      <c r="V219" s="71"/>
      <c r="W219" s="72" t="str">
        <f t="shared" si="6"/>
        <v/>
      </c>
      <c r="X219" s="72">
        <f t="shared" si="17"/>
        <v>0</v>
      </c>
      <c r="Y219" s="71">
        <v>0.0</v>
      </c>
      <c r="Z219" s="60">
        <v>-0.008333333333333333</v>
      </c>
      <c r="AA219" s="85" t="s">
        <v>1232</v>
      </c>
      <c r="AB219" s="74" t="s">
        <v>1233</v>
      </c>
      <c r="AC219" s="76"/>
      <c r="AD219" s="70"/>
      <c r="AE219" s="76"/>
      <c r="AF219" s="61" t="s">
        <v>806</v>
      </c>
      <c r="AG219" s="61" t="s">
        <v>1234</v>
      </c>
      <c r="AH219" s="86">
        <v>5.0</v>
      </c>
      <c r="AI219" s="60"/>
    </row>
    <row r="220">
      <c r="A220" s="78" t="s">
        <v>58</v>
      </c>
      <c r="B220" s="38">
        <v>25.0</v>
      </c>
      <c r="C220" s="39">
        <v>0.3402777777777778</v>
      </c>
      <c r="D220" s="40">
        <f t="array" ref="D220">IFERROR(INDIRECT("'renta'!G$"&amp;MATCH(T220,renta!$A:$A,0))*0.975-(G220*INDIRECT("'renta'!G$"&amp;MATCH(F220,renta!$A:$A,0)))/B220-IFERROR((J220*INDIRECT("'renta'!G$"&amp;MATCH(I220,renta!$A:$A,0)))/B220,0),)</f>
        <v>1.757278747</v>
      </c>
      <c r="E220" s="41">
        <f t="shared" si="1"/>
        <v>10.75884947</v>
      </c>
      <c r="F220" s="40" t="s">
        <v>16</v>
      </c>
      <c r="G220" s="43">
        <f t="shared" si="2"/>
        <v>147.3735</v>
      </c>
      <c r="H220" s="44" t="s">
        <v>1235</v>
      </c>
      <c r="I220" s="79"/>
      <c r="J220" s="79"/>
      <c r="K220" s="79"/>
      <c r="L220" s="38" t="s">
        <v>1104</v>
      </c>
      <c r="M220" s="46">
        <v>24.25</v>
      </c>
      <c r="N220" s="46">
        <v>4.5</v>
      </c>
      <c r="O220" s="42" t="s">
        <v>34</v>
      </c>
      <c r="P220" s="46">
        <v>127.0</v>
      </c>
      <c r="Q220" s="106">
        <f t="shared" si="16"/>
        <v>731</v>
      </c>
      <c r="R220" s="47">
        <f t="array" ref="R220">INDIRECT("'renta'!G$"&amp;MATCH(O220,renta!$A:$A,0))*P220</f>
        <v>16850.63343</v>
      </c>
      <c r="S220" s="48">
        <f t="shared" si="12"/>
        <v>105288.158</v>
      </c>
      <c r="T220" s="49" t="str">
        <f t="shared" si="4"/>
        <v>HEAT</v>
      </c>
      <c r="U220" s="50">
        <f t="shared" si="5"/>
        <v>0.836606413</v>
      </c>
      <c r="V220" s="80"/>
      <c r="W220" s="52" t="str">
        <f t="shared" si="6"/>
        <v/>
      </c>
      <c r="X220" s="52">
        <f t="shared" si="17"/>
        <v>0</v>
      </c>
      <c r="Y220" s="80">
        <v>0.0</v>
      </c>
      <c r="Z220" s="39">
        <v>-0.007638888888888889</v>
      </c>
      <c r="AA220" s="81" t="s">
        <v>756</v>
      </c>
      <c r="AB220" s="82" t="s">
        <v>1236</v>
      </c>
      <c r="AC220" s="83"/>
      <c r="AD220" s="50"/>
      <c r="AE220" s="83"/>
      <c r="AF220" s="40" t="s">
        <v>806</v>
      </c>
      <c r="AG220" s="40" t="s">
        <v>1237</v>
      </c>
      <c r="AH220" s="87">
        <v>5.0</v>
      </c>
      <c r="AI220" s="39"/>
    </row>
    <row r="221">
      <c r="A221" s="58" t="s">
        <v>1238</v>
      </c>
      <c r="B221" s="59">
        <v>25.0</v>
      </c>
      <c r="C221" s="60">
        <v>0.3333333333333333</v>
      </c>
      <c r="D221" s="61">
        <f t="array" ref="D221">IFERROR(INDIRECT("'renta'!G$"&amp;MATCH(T221,renta!$A:$A,0))*0.975-(G221*INDIRECT("'renta'!G$"&amp;MATCH(F221,renta!$A:$A,0)))/B221-IFERROR((J221*INDIRECT("'renta'!G$"&amp;MATCH(I221,renta!$A:$A,0)))/B221,0),)</f>
        <v>3.648196747</v>
      </c>
      <c r="E221" s="41">
        <f t="shared" si="1"/>
        <v>22.80122967</v>
      </c>
      <c r="F221" s="61" t="s">
        <v>16</v>
      </c>
      <c r="G221" s="62">
        <f t="shared" si="2"/>
        <v>142.5</v>
      </c>
      <c r="H221" s="63" t="s">
        <v>1239</v>
      </c>
      <c r="I221" s="64"/>
      <c r="J221" s="64"/>
      <c r="K221" s="64"/>
      <c r="L221" s="59" t="s">
        <v>1109</v>
      </c>
      <c r="M221" s="65">
        <v>24.25</v>
      </c>
      <c r="N221" s="65">
        <v>4.5</v>
      </c>
      <c r="O221" s="66" t="s">
        <v>34</v>
      </c>
      <c r="P221" s="65">
        <v>150.0</v>
      </c>
      <c r="Q221" s="105">
        <f t="shared" si="16"/>
        <v>881</v>
      </c>
      <c r="R221" s="67">
        <f t="array" ref="R221">INDIRECT("'renta'!G$"&amp;MATCH(O221,renta!$A:$A,0))*P221</f>
        <v>19902.32295</v>
      </c>
      <c r="S221" s="68">
        <f t="shared" si="12"/>
        <v>125190.4809</v>
      </c>
      <c r="T221" s="69" t="str">
        <f t="shared" si="4"/>
        <v>HEAT</v>
      </c>
      <c r="U221" s="70">
        <f t="shared" si="5"/>
        <v>0.6050741025</v>
      </c>
      <c r="V221" s="71"/>
      <c r="W221" s="72" t="str">
        <f t="shared" si="6"/>
        <v/>
      </c>
      <c r="X221" s="72">
        <f t="shared" si="17"/>
        <v>0</v>
      </c>
      <c r="Y221" s="71">
        <v>0.0</v>
      </c>
      <c r="Z221" s="60">
        <v>-0.006944444444444444</v>
      </c>
      <c r="AA221" s="85" t="s">
        <v>1240</v>
      </c>
      <c r="AB221" s="74" t="s">
        <v>1241</v>
      </c>
      <c r="AC221" s="76"/>
      <c r="AD221" s="70"/>
      <c r="AE221" s="76"/>
      <c r="AF221" s="61" t="s">
        <v>806</v>
      </c>
      <c r="AG221" s="61" t="s">
        <v>1242</v>
      </c>
      <c r="AH221" s="86">
        <v>5.0</v>
      </c>
      <c r="AI221" s="60"/>
    </row>
    <row r="222">
      <c r="A222" s="88"/>
      <c r="B222" s="89"/>
      <c r="C222" s="90"/>
      <c r="D222" s="40" t="str">
        <f t="array" ref="D222">IFERROR(INDIRECT("'renta'!G$"&amp;MATCH(T222,renta!$A:$A,0))*0.975-(G222*INDIRECT("'renta'!G$"&amp;MATCH(F222,renta!$A:$A,0)))/B222-IFERROR((J222*INDIRECT("'renta'!G$"&amp;MATCH(I222,renta!$A:$A,0)))/B222,0),)</f>
        <v/>
      </c>
      <c r="E222" s="41">
        <f t="shared" si="1"/>
        <v>0</v>
      </c>
      <c r="F222" s="79"/>
      <c r="G222" s="43">
        <f t="shared" si="2"/>
        <v>0</v>
      </c>
      <c r="H222" s="91"/>
      <c r="I222" s="79"/>
      <c r="J222" s="79"/>
      <c r="K222" s="79"/>
      <c r="L222" s="92"/>
      <c r="M222" s="93"/>
      <c r="N222" s="93"/>
      <c r="O222" s="45"/>
      <c r="P222" s="93"/>
      <c r="Q222" s="93"/>
      <c r="R222" s="48"/>
      <c r="T222" s="49" t="str">
        <f t="shared" si="4"/>
        <v/>
      </c>
      <c r="U222" s="50" t="str">
        <f t="shared" si="5"/>
        <v>#DIV/0!</v>
      </c>
      <c r="V222" s="94"/>
      <c r="W222" s="52" t="str">
        <f t="shared" si="6"/>
        <v/>
      </c>
      <c r="X222" s="52"/>
      <c r="Y222" s="94"/>
      <c r="Z222" s="90"/>
      <c r="AA222" s="95"/>
      <c r="AB222" s="50"/>
      <c r="AC222" s="83"/>
      <c r="AD222" s="50"/>
      <c r="AE222" s="83"/>
      <c r="AF222" s="79"/>
      <c r="AG222" s="79"/>
      <c r="AH222" s="84"/>
      <c r="AI222" s="90"/>
    </row>
    <row r="223">
      <c r="A223" s="58" t="s">
        <v>1243</v>
      </c>
      <c r="B223" s="59">
        <v>1.0</v>
      </c>
      <c r="C223" s="60">
        <v>0.25</v>
      </c>
      <c r="D223" s="61">
        <f t="array" ref="D223">IFERROR(INDIRECT("'renta'!G$"&amp;MATCH(T223,renta!$A:$A,0))*0.975-(G223*INDIRECT("'renta'!G$"&amp;MATCH(F223,renta!$A:$A,0)))/B223-IFERROR((J223*INDIRECT("'renta'!G$"&amp;MATCH(I223,renta!$A:$A,0)))/B223,0),)</f>
        <v>-0.06410055248</v>
      </c>
      <c r="E223" s="41">
        <f t="shared" si="1"/>
        <v>-0.03140927072</v>
      </c>
      <c r="F223" s="61" t="s">
        <v>37</v>
      </c>
      <c r="G223" s="62">
        <f t="shared" si="2"/>
        <v>3.8</v>
      </c>
      <c r="H223" s="63" t="s">
        <v>1244</v>
      </c>
      <c r="I223" s="64"/>
      <c r="J223" s="64"/>
      <c r="K223" s="64"/>
      <c r="L223" s="59" t="s">
        <v>137</v>
      </c>
      <c r="M223" s="65">
        <v>5.0</v>
      </c>
      <c r="N223" s="65">
        <v>21.0</v>
      </c>
      <c r="O223" s="66" t="s">
        <v>12</v>
      </c>
      <c r="P223" s="65">
        <v>1.0</v>
      </c>
      <c r="Q223" s="65"/>
      <c r="R223" s="67">
        <f t="array" ref="R223">INDIRECT("'renta'!G$"&amp;MATCH(O223,renta!$A:$A,0))*P223</f>
        <v>0.0041</v>
      </c>
      <c r="S223" s="68">
        <f t="shared" ref="S223:S242" si="18">SUM(R$223:R223)</f>
        <v>0.0041</v>
      </c>
      <c r="T223" s="69" t="str">
        <f t="shared" si="4"/>
        <v>ALGAE</v>
      </c>
      <c r="U223" s="70">
        <f t="shared" si="5"/>
        <v>-7660.797735</v>
      </c>
      <c r="V223" s="71"/>
      <c r="W223" s="72" t="str">
        <f t="shared" si="6"/>
        <v/>
      </c>
      <c r="X223" s="72"/>
      <c r="Y223" s="71">
        <v>0.0</v>
      </c>
      <c r="Z223" s="60">
        <v>0.0</v>
      </c>
      <c r="AA223" s="73">
        <v>0.0</v>
      </c>
      <c r="AB223" s="74" t="s">
        <v>1245</v>
      </c>
      <c r="AC223" s="75" t="s">
        <v>1246</v>
      </c>
      <c r="AD223" s="70"/>
      <c r="AE223" s="76"/>
      <c r="AF223" s="61" t="s">
        <v>806</v>
      </c>
      <c r="AG223" s="61" t="s">
        <v>1247</v>
      </c>
      <c r="AH223" s="86">
        <v>4.0</v>
      </c>
      <c r="AI223" s="59">
        <v>0.47</v>
      </c>
    </row>
    <row r="224">
      <c r="A224" s="78" t="s">
        <v>1248</v>
      </c>
      <c r="B224" s="38">
        <v>2.0</v>
      </c>
      <c r="C224" s="39">
        <v>0.4166666666666667</v>
      </c>
      <c r="D224" s="40">
        <f t="array" ref="D224">IFERROR(INDIRECT("'renta'!G$"&amp;MATCH(T224,renta!$A:$A,0))*0.975-(G224*INDIRECT("'renta'!G$"&amp;MATCH(F224,renta!$A:$A,0)))/B224-IFERROR((J224*INDIRECT("'renta'!G$"&amp;MATCH(I224,renta!$A:$A,0)))/B224,0),)</f>
        <v>0.628790453</v>
      </c>
      <c r="E224" s="41">
        <f t="shared" si="1"/>
        <v>0.3697287864</v>
      </c>
      <c r="F224" s="40" t="s">
        <v>37</v>
      </c>
      <c r="G224" s="43">
        <f t="shared" si="2"/>
        <v>7.524</v>
      </c>
      <c r="H224" s="44" t="s">
        <v>1249</v>
      </c>
      <c r="I224" s="79"/>
      <c r="J224" s="79"/>
      <c r="K224" s="79"/>
      <c r="L224" s="38" t="s">
        <v>1250</v>
      </c>
      <c r="M224" s="46">
        <v>9.976</v>
      </c>
      <c r="N224" s="46">
        <v>21.0</v>
      </c>
      <c r="O224" s="42" t="s">
        <v>30</v>
      </c>
      <c r="P224" s="46">
        <v>3.0</v>
      </c>
      <c r="Q224" s="46"/>
      <c r="R224" s="47">
        <f t="array" ref="R224">INDIRECT("'renta'!G$"&amp;MATCH(O224,renta!$A:$A,0))*P224</f>
        <v>111</v>
      </c>
      <c r="S224" s="48">
        <f t="shared" si="18"/>
        <v>111.0041</v>
      </c>
      <c r="T224" s="49" t="str">
        <f t="shared" si="4"/>
        <v>ALGAE</v>
      </c>
      <c r="U224" s="50">
        <f t="shared" si="5"/>
        <v>3.61385637</v>
      </c>
      <c r="V224" s="80"/>
      <c r="W224" s="52" t="str">
        <f t="shared" si="6"/>
        <v/>
      </c>
      <c r="X224" s="52"/>
      <c r="Y224" s="80">
        <v>1.0</v>
      </c>
      <c r="Z224" s="39">
        <v>0.16666666666666666</v>
      </c>
      <c r="AA224" s="53">
        <v>0.2</v>
      </c>
      <c r="AB224" s="82" t="s">
        <v>1251</v>
      </c>
      <c r="AC224" s="54" t="s">
        <v>1246</v>
      </c>
      <c r="AD224" s="50"/>
      <c r="AE224" s="83"/>
      <c r="AF224" s="40" t="s">
        <v>806</v>
      </c>
      <c r="AG224" s="40" t="s">
        <v>1252</v>
      </c>
      <c r="AH224" s="87">
        <v>4.0</v>
      </c>
      <c r="AI224" s="38">
        <v>0.47</v>
      </c>
    </row>
    <row r="225">
      <c r="A225" s="58" t="s">
        <v>1253</v>
      </c>
      <c r="B225" s="59">
        <v>2.0</v>
      </c>
      <c r="C225" s="60">
        <v>0.3541666666666667</v>
      </c>
      <c r="D225" s="61">
        <f t="array" ref="D225">IFERROR(INDIRECT("'renta'!G$"&amp;MATCH(T225,renta!$A:$A,0))*0.975-(G225*INDIRECT("'renta'!G$"&amp;MATCH(F225,renta!$A:$A,0)))/B225-IFERROR((J225*INDIRECT("'renta'!G$"&amp;MATCH(I225,renta!$A:$A,0)))/B225,0),)</f>
        <v>1.321681459</v>
      </c>
      <c r="E225" s="41">
        <f t="shared" si="1"/>
        <v>0.9142925855</v>
      </c>
      <c r="F225" s="61" t="s">
        <v>37</v>
      </c>
      <c r="G225" s="62">
        <f t="shared" si="2"/>
        <v>7.448</v>
      </c>
      <c r="H225" s="63" t="s">
        <v>1254</v>
      </c>
      <c r="I225" s="64"/>
      <c r="J225" s="64"/>
      <c r="K225" s="64"/>
      <c r="L225" s="59" t="s">
        <v>1255</v>
      </c>
      <c r="M225" s="65">
        <v>9.976</v>
      </c>
      <c r="N225" s="65">
        <v>21.0</v>
      </c>
      <c r="O225" s="66" t="s">
        <v>30</v>
      </c>
      <c r="P225" s="65">
        <v>5.0</v>
      </c>
      <c r="Q225" s="65"/>
      <c r="R225" s="67">
        <f t="array" ref="R225">INDIRECT("'renta'!G$"&amp;MATCH(O225,renta!$A:$A,0))*P225</f>
        <v>185</v>
      </c>
      <c r="S225" s="68">
        <f t="shared" si="18"/>
        <v>296.0041</v>
      </c>
      <c r="T225" s="69" t="str">
        <f t="shared" si="4"/>
        <v>ALGAE</v>
      </c>
      <c r="U225" s="70">
        <f t="shared" si="5"/>
        <v>2.943588103</v>
      </c>
      <c r="V225" s="71"/>
      <c r="W225" s="72" t="str">
        <f t="shared" si="6"/>
        <v/>
      </c>
      <c r="X225" s="72"/>
      <c r="Y225" s="71">
        <v>0.0</v>
      </c>
      <c r="Z225" s="60">
        <v>-0.0625</v>
      </c>
      <c r="AA225" s="85" t="s">
        <v>1256</v>
      </c>
      <c r="AB225" s="74" t="s">
        <v>1257</v>
      </c>
      <c r="AC225" s="75" t="s">
        <v>1258</v>
      </c>
      <c r="AD225" s="70"/>
      <c r="AE225" s="76"/>
      <c r="AF225" s="61" t="s">
        <v>806</v>
      </c>
      <c r="AG225" s="61" t="s">
        <v>1259</v>
      </c>
      <c r="AH225" s="86">
        <v>4.0</v>
      </c>
      <c r="AI225" s="59">
        <v>0.47</v>
      </c>
    </row>
    <row r="226">
      <c r="A226" s="78" t="s">
        <v>1260</v>
      </c>
      <c r="B226" s="38">
        <v>2.0</v>
      </c>
      <c r="C226" s="39">
        <v>0.3125</v>
      </c>
      <c r="D226" s="40">
        <f t="array" ref="D226">IFERROR(INDIRECT("'renta'!G$"&amp;MATCH(T226,renta!$A:$A,0))*0.975-(G226*INDIRECT("'renta'!G$"&amp;MATCH(F226,renta!$A:$A,0)))/B226-IFERROR((J226*INDIRECT("'renta'!G$"&amp;MATCH(I226,renta!$A:$A,0)))/B226,0),)</f>
        <v>2.014572464</v>
      </c>
      <c r="E226" s="41">
        <f t="shared" si="1"/>
        <v>1.579424812</v>
      </c>
      <c r="F226" s="40" t="s">
        <v>37</v>
      </c>
      <c r="G226" s="43">
        <f t="shared" si="2"/>
        <v>7.372</v>
      </c>
      <c r="H226" s="44" t="s">
        <v>1261</v>
      </c>
      <c r="I226" s="79"/>
      <c r="J226" s="79"/>
      <c r="K226" s="79"/>
      <c r="L226" s="38" t="s">
        <v>1262</v>
      </c>
      <c r="M226" s="46">
        <v>9.976</v>
      </c>
      <c r="N226" s="46">
        <v>21.0</v>
      </c>
      <c r="O226" s="42" t="s">
        <v>30</v>
      </c>
      <c r="P226" s="46">
        <v>8.0</v>
      </c>
      <c r="Q226" s="46"/>
      <c r="R226" s="47">
        <f t="array" ref="R226">INDIRECT("'renta'!G$"&amp;MATCH(O226,renta!$A:$A,0))*P226</f>
        <v>296</v>
      </c>
      <c r="S226" s="48">
        <f t="shared" si="18"/>
        <v>592.0041</v>
      </c>
      <c r="T226" s="49" t="str">
        <f t="shared" si="4"/>
        <v>ALGAE</v>
      </c>
      <c r="U226" s="50">
        <f t="shared" si="5"/>
        <v>2.247068332</v>
      </c>
      <c r="V226" s="80"/>
      <c r="W226" s="52" t="str">
        <f t="shared" si="6"/>
        <v/>
      </c>
      <c r="X226" s="52"/>
      <c r="Y226" s="80">
        <v>0.0</v>
      </c>
      <c r="Z226" s="39">
        <v>-0.041666666666666664</v>
      </c>
      <c r="AA226" s="81" t="s">
        <v>1263</v>
      </c>
      <c r="AB226" s="82" t="s">
        <v>1264</v>
      </c>
      <c r="AC226" s="54" t="s">
        <v>1265</v>
      </c>
      <c r="AD226" s="50"/>
      <c r="AE226" s="83"/>
      <c r="AF226" s="40" t="s">
        <v>806</v>
      </c>
      <c r="AG226" s="40" t="s">
        <v>1266</v>
      </c>
      <c r="AH226" s="87">
        <v>4.0</v>
      </c>
      <c r="AI226" s="38">
        <v>0.47</v>
      </c>
    </row>
    <row r="227">
      <c r="A227" s="58" t="s">
        <v>1267</v>
      </c>
      <c r="B227" s="59">
        <v>4.0</v>
      </c>
      <c r="C227" s="60">
        <v>0.5625</v>
      </c>
      <c r="D227" s="61">
        <f t="array" ref="D227">IFERROR(INDIRECT("'renta'!G$"&amp;MATCH(T227,renta!$A:$A,0))*0.975-(G227*INDIRECT("'renta'!G$"&amp;MATCH(F227,renta!$A:$A,0)))/B227-IFERROR((J227*INDIRECT("'renta'!G$"&amp;MATCH(I227,renta!$A:$A,0)))/B227,0),)</f>
        <v>2.577546406</v>
      </c>
      <c r="E227" s="41">
        <f t="shared" si="1"/>
        <v>2.245329314</v>
      </c>
      <c r="F227" s="61" t="s">
        <v>37</v>
      </c>
      <c r="G227" s="62">
        <f t="shared" si="2"/>
        <v>14.6205</v>
      </c>
      <c r="H227" s="63" t="s">
        <v>1268</v>
      </c>
      <c r="I227" s="64"/>
      <c r="J227" s="64"/>
      <c r="K227" s="64"/>
      <c r="L227" s="59" t="s">
        <v>1269</v>
      </c>
      <c r="M227" s="65">
        <v>19.744</v>
      </c>
      <c r="N227" s="65">
        <v>21.0</v>
      </c>
      <c r="O227" s="66" t="s">
        <v>30</v>
      </c>
      <c r="P227" s="65">
        <v>11.0</v>
      </c>
      <c r="Q227" s="65"/>
      <c r="R227" s="67">
        <f t="array" ref="R227">INDIRECT("'renta'!G$"&amp;MATCH(O227,renta!$A:$A,0))*P227</f>
        <v>407</v>
      </c>
      <c r="S227" s="68">
        <f t="shared" si="18"/>
        <v>999.0041</v>
      </c>
      <c r="T227" s="69" t="str">
        <f t="shared" si="4"/>
        <v>ALGAE</v>
      </c>
      <c r="U227" s="70">
        <f t="shared" si="5"/>
        <v>1.636128997</v>
      </c>
      <c r="V227" s="71"/>
      <c r="W227" s="72" t="str">
        <f t="shared" si="6"/>
        <v/>
      </c>
      <c r="X227" s="72"/>
      <c r="Y227" s="71">
        <v>2.0</v>
      </c>
      <c r="Z227" s="60">
        <v>0.25</v>
      </c>
      <c r="AA227" s="85" t="s">
        <v>627</v>
      </c>
      <c r="AB227" s="74" t="s">
        <v>1270</v>
      </c>
      <c r="AC227" s="75" t="s">
        <v>1271</v>
      </c>
      <c r="AD227" s="70"/>
      <c r="AE227" s="76"/>
      <c r="AF227" s="61" t="s">
        <v>806</v>
      </c>
      <c r="AG227" s="61" t="s">
        <v>1272</v>
      </c>
      <c r="AH227" s="86">
        <v>4.0</v>
      </c>
      <c r="AI227" s="59">
        <v>0.47</v>
      </c>
    </row>
    <row r="228">
      <c r="A228" s="78" t="s">
        <v>1273</v>
      </c>
      <c r="B228" s="38">
        <v>4.0</v>
      </c>
      <c r="C228" s="39">
        <v>0.5</v>
      </c>
      <c r="D228" s="40">
        <f t="array" ref="D228">IFERROR(INDIRECT("'renta'!G$"&amp;MATCH(T228,renta!$A:$A,0))*0.975-(G228*INDIRECT("'renta'!G$"&amp;MATCH(F228,renta!$A:$A,0)))/B228-IFERROR((J228*INDIRECT("'renta'!G$"&amp;MATCH(I228,renta!$A:$A,0)))/B228,0),)</f>
        <v>3.140520348</v>
      </c>
      <c r="E228" s="41">
        <f t="shared" si="1"/>
        <v>3.077709941</v>
      </c>
      <c r="F228" s="40" t="s">
        <v>37</v>
      </c>
      <c r="G228" s="43">
        <f t="shared" si="2"/>
        <v>14.497</v>
      </c>
      <c r="H228" s="44" t="s">
        <v>1274</v>
      </c>
      <c r="I228" s="79"/>
      <c r="J228" s="79"/>
      <c r="K228" s="79"/>
      <c r="L228" s="38" t="s">
        <v>1275</v>
      </c>
      <c r="M228" s="46">
        <v>19.744</v>
      </c>
      <c r="N228" s="46">
        <v>21.0</v>
      </c>
      <c r="O228" s="42" t="s">
        <v>30</v>
      </c>
      <c r="P228" s="46">
        <v>15.0</v>
      </c>
      <c r="Q228" s="46"/>
      <c r="R228" s="47">
        <f t="array" ref="R228">INDIRECT("'renta'!G$"&amp;MATCH(O228,renta!$A:$A,0))*P228</f>
        <v>555</v>
      </c>
      <c r="S228" s="48">
        <f t="shared" si="18"/>
        <v>1554.0041</v>
      </c>
      <c r="T228" s="49" t="str">
        <f t="shared" si="4"/>
        <v>ALGAE</v>
      </c>
      <c r="U228" s="50">
        <f t="shared" si="5"/>
        <v>1.499784914</v>
      </c>
      <c r="V228" s="80"/>
      <c r="W228" s="52" t="str">
        <f t="shared" si="6"/>
        <v/>
      </c>
      <c r="X228" s="52"/>
      <c r="Y228" s="80">
        <v>0.0</v>
      </c>
      <c r="Z228" s="39">
        <v>-0.0625</v>
      </c>
      <c r="AA228" s="81" t="s">
        <v>1276</v>
      </c>
      <c r="AB228" s="82" t="s">
        <v>1277</v>
      </c>
      <c r="AC228" s="54" t="s">
        <v>1278</v>
      </c>
      <c r="AD228" s="50"/>
      <c r="AE228" s="83"/>
      <c r="AF228" s="40" t="s">
        <v>806</v>
      </c>
      <c r="AG228" s="40" t="s">
        <v>1279</v>
      </c>
      <c r="AH228" s="87">
        <v>4.0</v>
      </c>
      <c r="AI228" s="38">
        <v>0.47</v>
      </c>
    </row>
    <row r="229">
      <c r="A229" s="58" t="s">
        <v>1280</v>
      </c>
      <c r="B229" s="59">
        <v>4.0</v>
      </c>
      <c r="C229" s="60">
        <v>0.4375</v>
      </c>
      <c r="D229" s="61">
        <f t="array" ref="D229">IFERROR(INDIRECT("'renta'!G$"&amp;MATCH(T229,renta!$A:$A,0))*0.975-(G229*INDIRECT("'renta'!G$"&amp;MATCH(F229,renta!$A:$A,0)))/B229-IFERROR((J229*INDIRECT("'renta'!G$"&amp;MATCH(I229,renta!$A:$A,0)))/B229,0),)</f>
        <v>3.70349429</v>
      </c>
      <c r="E229" s="41">
        <f t="shared" si="1"/>
        <v>4.147913605</v>
      </c>
      <c r="F229" s="61" t="s">
        <v>37</v>
      </c>
      <c r="G229" s="62">
        <f t="shared" si="2"/>
        <v>14.3735</v>
      </c>
      <c r="H229" s="63" t="s">
        <v>1281</v>
      </c>
      <c r="I229" s="64"/>
      <c r="J229" s="64"/>
      <c r="K229" s="64"/>
      <c r="L229" s="59" t="s">
        <v>1282</v>
      </c>
      <c r="M229" s="65">
        <v>19.744</v>
      </c>
      <c r="N229" s="65">
        <v>21.0</v>
      </c>
      <c r="O229" s="66" t="s">
        <v>30</v>
      </c>
      <c r="P229" s="65">
        <v>20.0</v>
      </c>
      <c r="Q229" s="65"/>
      <c r="R229" s="67">
        <f t="array" ref="R229">INDIRECT("'renta'!G$"&amp;MATCH(O229,renta!$A:$A,0))*P229</f>
        <v>740</v>
      </c>
      <c r="S229" s="68">
        <f t="shared" si="18"/>
        <v>2294.0041</v>
      </c>
      <c r="T229" s="69" t="str">
        <f t="shared" si="4"/>
        <v>ALGAE</v>
      </c>
      <c r="U229" s="70">
        <f t="shared" si="5"/>
        <v>1.446221167</v>
      </c>
      <c r="V229" s="71"/>
      <c r="W229" s="72" t="str">
        <f t="shared" si="6"/>
        <v/>
      </c>
      <c r="X229" s="72"/>
      <c r="Y229" s="71">
        <v>0.0</v>
      </c>
      <c r="Z229" s="60">
        <v>-0.0625</v>
      </c>
      <c r="AA229" s="85" t="s">
        <v>416</v>
      </c>
      <c r="AB229" s="74" t="s">
        <v>1283</v>
      </c>
      <c r="AC229" s="75" t="s">
        <v>1284</v>
      </c>
      <c r="AD229" s="70"/>
      <c r="AE229" s="76"/>
      <c r="AF229" s="61" t="s">
        <v>806</v>
      </c>
      <c r="AG229" s="61" t="s">
        <v>1285</v>
      </c>
      <c r="AH229" s="86">
        <v>4.0</v>
      </c>
      <c r="AI229" s="59">
        <v>0.47</v>
      </c>
    </row>
    <row r="230">
      <c r="A230" s="78" t="s">
        <v>1286</v>
      </c>
      <c r="B230" s="38">
        <v>4.0</v>
      </c>
      <c r="C230" s="39">
        <v>0.375</v>
      </c>
      <c r="D230" s="40">
        <f t="array" ref="D230">IFERROR(INDIRECT("'renta'!G$"&amp;MATCH(T230,renta!$A:$A,0))*0.975-(G230*INDIRECT("'renta'!G$"&amp;MATCH(F230,renta!$A:$A,0)))/B230-IFERROR((J230*INDIRECT("'renta'!G$"&amp;MATCH(I230,renta!$A:$A,0)))/B230,0),)</f>
        <v>4.223162544</v>
      </c>
      <c r="E230" s="41">
        <f t="shared" si="1"/>
        <v>5.518265724</v>
      </c>
      <c r="F230" s="40" t="s">
        <v>37</v>
      </c>
      <c r="G230" s="43">
        <f t="shared" si="2"/>
        <v>14.2595</v>
      </c>
      <c r="H230" s="44" t="s">
        <v>1287</v>
      </c>
      <c r="I230" s="79"/>
      <c r="J230" s="79"/>
      <c r="K230" s="79"/>
      <c r="L230" s="38" t="s">
        <v>1288</v>
      </c>
      <c r="M230" s="46">
        <v>19.744</v>
      </c>
      <c r="N230" s="46">
        <v>21.0</v>
      </c>
      <c r="O230" s="42" t="s">
        <v>30</v>
      </c>
      <c r="P230" s="46">
        <v>26.0</v>
      </c>
      <c r="Q230" s="46"/>
      <c r="R230" s="47">
        <f t="array" ref="R230">INDIRECT("'renta'!G$"&amp;MATCH(O230,renta!$A:$A,0))*P230</f>
        <v>962</v>
      </c>
      <c r="S230" s="48">
        <f t="shared" si="18"/>
        <v>3256.0041</v>
      </c>
      <c r="T230" s="49" t="str">
        <f t="shared" si="4"/>
        <v>ALGAE</v>
      </c>
      <c r="U230" s="50">
        <f t="shared" si="5"/>
        <v>1.424482453</v>
      </c>
      <c r="V230" s="80"/>
      <c r="W230" s="52" t="str">
        <f t="shared" si="6"/>
        <v/>
      </c>
      <c r="X230" s="52"/>
      <c r="Y230" s="80">
        <v>0.0</v>
      </c>
      <c r="Z230" s="39">
        <v>-0.0625</v>
      </c>
      <c r="AA230" s="81" t="s">
        <v>992</v>
      </c>
      <c r="AB230" s="82" t="s">
        <v>1289</v>
      </c>
      <c r="AC230" s="54" t="s">
        <v>1290</v>
      </c>
      <c r="AD230" s="50"/>
      <c r="AE230" s="83"/>
      <c r="AF230" s="40" t="s">
        <v>806</v>
      </c>
      <c r="AG230" s="40" t="s">
        <v>1291</v>
      </c>
      <c r="AH230" s="87">
        <v>4.0</v>
      </c>
      <c r="AI230" s="38">
        <v>0.47</v>
      </c>
    </row>
    <row r="231">
      <c r="A231" s="58" t="s">
        <v>1292</v>
      </c>
      <c r="B231" s="59">
        <v>4.0</v>
      </c>
      <c r="C231" s="60">
        <v>0.3333333333333333</v>
      </c>
      <c r="D231" s="61">
        <f t="array" ref="D231">IFERROR(INDIRECT("'renta'!G$"&amp;MATCH(T231,renta!$A:$A,0))*0.975-(G231*INDIRECT("'renta'!G$"&amp;MATCH(F231,renta!$A:$A,0)))/B231-IFERROR((J231*INDIRECT("'renta'!G$"&amp;MATCH(I231,renta!$A:$A,0)))/B231,0),)</f>
        <v>4.699525111</v>
      </c>
      <c r="E231" s="41">
        <f t="shared" si="1"/>
        <v>6.908301912</v>
      </c>
      <c r="F231" s="61" t="s">
        <v>37</v>
      </c>
      <c r="G231" s="62">
        <f t="shared" si="2"/>
        <v>14.155</v>
      </c>
      <c r="H231" s="63" t="s">
        <v>1293</v>
      </c>
      <c r="I231" s="64"/>
      <c r="J231" s="64"/>
      <c r="K231" s="64"/>
      <c r="L231" s="59" t="s">
        <v>1294</v>
      </c>
      <c r="M231" s="65">
        <v>19.744</v>
      </c>
      <c r="N231" s="65">
        <v>21.0</v>
      </c>
      <c r="O231" s="66" t="s">
        <v>30</v>
      </c>
      <c r="P231" s="65">
        <v>34.0</v>
      </c>
      <c r="Q231" s="65">
        <v>122.0</v>
      </c>
      <c r="R231" s="67">
        <f t="array" ref="R231">INDIRECT("'renta'!G$"&amp;MATCH(O231,renta!$A:$A,0))*P231</f>
        <v>1258</v>
      </c>
      <c r="S231" s="68">
        <f t="shared" si="18"/>
        <v>4514.0041</v>
      </c>
      <c r="T231" s="69" t="str">
        <f t="shared" si="4"/>
        <v>ALGAE</v>
      </c>
      <c r="U231" s="70">
        <f t="shared" si="5"/>
        <v>1.104957224</v>
      </c>
      <c r="V231" s="71"/>
      <c r="W231" s="72" t="str">
        <f t="shared" si="6"/>
        <v/>
      </c>
      <c r="X231" s="72"/>
      <c r="Y231" s="71">
        <v>0.0</v>
      </c>
      <c r="Z231" s="60">
        <v>-0.041666666666666664</v>
      </c>
      <c r="AA231" s="85" t="s">
        <v>1276</v>
      </c>
      <c r="AB231" s="74" t="s">
        <v>1295</v>
      </c>
      <c r="AC231" s="75" t="s">
        <v>1296</v>
      </c>
      <c r="AD231" s="70"/>
      <c r="AE231" s="76"/>
      <c r="AF231" s="61" t="s">
        <v>806</v>
      </c>
      <c r="AG231" s="61" t="s">
        <v>1297</v>
      </c>
      <c r="AH231" s="86">
        <v>4.0</v>
      </c>
      <c r="AI231" s="59">
        <v>0.47</v>
      </c>
    </row>
    <row r="232">
      <c r="A232" s="78" t="s">
        <v>1298</v>
      </c>
      <c r="B232" s="38">
        <v>6.0</v>
      </c>
      <c r="C232" s="39">
        <v>0.4791666666666667</v>
      </c>
      <c r="D232" s="40">
        <f t="array" ref="D232">IFERROR(INDIRECT("'renta'!G$"&amp;MATCH(T232,renta!$A:$A,0))*0.975-(G232*INDIRECT("'renta'!G$"&amp;MATCH(F232,renta!$A:$A,0)))/B232-IFERROR((J232*INDIRECT("'renta'!G$"&amp;MATCH(I232,renta!$A:$A,0)))/B232,0),)</f>
        <v>5.190322906</v>
      </c>
      <c r="E232" s="41">
        <f t="shared" si="1"/>
        <v>7.961504006</v>
      </c>
      <c r="F232" s="40" t="s">
        <v>37</v>
      </c>
      <c r="G232" s="43">
        <f t="shared" si="2"/>
        <v>21.071</v>
      </c>
      <c r="H232" s="44" t="s">
        <v>1299</v>
      </c>
      <c r="I232" s="79"/>
      <c r="J232" s="79"/>
      <c r="K232" s="79"/>
      <c r="L232" s="38" t="s">
        <v>1300</v>
      </c>
      <c r="M232" s="46">
        <v>28.512</v>
      </c>
      <c r="N232" s="46">
        <v>21.0</v>
      </c>
      <c r="O232" s="42" t="s">
        <v>34</v>
      </c>
      <c r="P232" s="46">
        <v>15.0</v>
      </c>
      <c r="Q232" s="106">
        <f t="shared" ref="Q232:Q242" si="19">SUM(P$232:P232)</f>
        <v>15</v>
      </c>
      <c r="R232" s="47">
        <f t="array" ref="R232">INDIRECT("'renta'!G$"&amp;MATCH(O232,renta!$A:$A,0))*P232</f>
        <v>1990.232295</v>
      </c>
      <c r="S232" s="48">
        <f t="shared" si="18"/>
        <v>6504.236395</v>
      </c>
      <c r="T232" s="49" t="str">
        <f t="shared" si="4"/>
        <v>ALGAE</v>
      </c>
      <c r="U232" s="50">
        <f t="shared" si="5"/>
        <v>0.5291855105</v>
      </c>
      <c r="V232" s="80"/>
      <c r="W232" s="52" t="str">
        <f t="shared" si="6"/>
        <v/>
      </c>
      <c r="X232" s="52"/>
      <c r="Y232" s="80">
        <v>2.0</v>
      </c>
      <c r="Z232" s="39">
        <v>0.14583333333333334</v>
      </c>
      <c r="AA232" s="81" t="s">
        <v>1301</v>
      </c>
      <c r="AB232" s="82" t="s">
        <v>1302</v>
      </c>
      <c r="AC232" s="54" t="s">
        <v>1303</v>
      </c>
      <c r="AD232" s="50"/>
      <c r="AE232" s="83"/>
      <c r="AF232" s="40" t="s">
        <v>806</v>
      </c>
      <c r="AG232" s="40" t="s">
        <v>1304</v>
      </c>
      <c r="AH232" s="87">
        <v>4.0</v>
      </c>
      <c r="AI232" s="38">
        <v>0.47</v>
      </c>
    </row>
    <row r="233">
      <c r="A233" s="58" t="s">
        <v>1305</v>
      </c>
      <c r="B233" s="59">
        <v>6.0</v>
      </c>
      <c r="C233" s="60">
        <v>0.4375</v>
      </c>
      <c r="D233" s="61">
        <f t="array" ref="D233">IFERROR(INDIRECT("'renta'!G$"&amp;MATCH(T233,renta!$A:$A,0))*0.975-(G233*INDIRECT("'renta'!G$"&amp;MATCH(F233,renta!$A:$A,0)))/B233-IFERROR((J233*INDIRECT("'renta'!G$"&amp;MATCH(I233,renta!$A:$A,0)))/B233,0),)</f>
        <v>5.652250243</v>
      </c>
      <c r="E233" s="41">
        <f t="shared" si="1"/>
        <v>9.495780408</v>
      </c>
      <c r="F233" s="61" t="s">
        <v>37</v>
      </c>
      <c r="G233" s="62">
        <f t="shared" si="2"/>
        <v>20.919</v>
      </c>
      <c r="H233" s="63" t="s">
        <v>1306</v>
      </c>
      <c r="I233" s="64"/>
      <c r="J233" s="64"/>
      <c r="K233" s="64"/>
      <c r="L233" s="59" t="s">
        <v>1307</v>
      </c>
      <c r="M233" s="65">
        <v>28.512</v>
      </c>
      <c r="N233" s="65">
        <v>21.0</v>
      </c>
      <c r="O233" s="66" t="s">
        <v>34</v>
      </c>
      <c r="P233" s="65">
        <v>19.0</v>
      </c>
      <c r="Q233" s="105">
        <f t="shared" si="19"/>
        <v>34</v>
      </c>
      <c r="R233" s="67">
        <f t="array" ref="R233">INDIRECT("'renta'!G$"&amp;MATCH(O233,renta!$A:$A,0))*P233</f>
        <v>2520.960907</v>
      </c>
      <c r="S233" s="68">
        <f t="shared" si="18"/>
        <v>9025.197302</v>
      </c>
      <c r="T233" s="69" t="str">
        <f t="shared" si="4"/>
        <v>ALGAE</v>
      </c>
      <c r="U233" s="70">
        <f t="shared" si="5"/>
        <v>0.6086077727</v>
      </c>
      <c r="V233" s="71"/>
      <c r="W233" s="72" t="str">
        <f t="shared" si="6"/>
        <v/>
      </c>
      <c r="X233" s="72"/>
      <c r="Y233" s="71">
        <v>0.0</v>
      </c>
      <c r="Z233" s="60">
        <v>-0.041666666666666664</v>
      </c>
      <c r="AA233" s="85" t="s">
        <v>1308</v>
      </c>
      <c r="AB233" s="74" t="s">
        <v>1309</v>
      </c>
      <c r="AC233" s="75" t="s">
        <v>1310</v>
      </c>
      <c r="AD233" s="70"/>
      <c r="AE233" s="76"/>
      <c r="AF233" s="61" t="s">
        <v>806</v>
      </c>
      <c r="AG233" s="61" t="s">
        <v>418</v>
      </c>
      <c r="AH233" s="86">
        <v>4.0</v>
      </c>
      <c r="AI233" s="59">
        <v>0.47</v>
      </c>
    </row>
    <row r="234">
      <c r="A234" s="78" t="s">
        <v>1311</v>
      </c>
      <c r="B234" s="38">
        <v>6.0</v>
      </c>
      <c r="C234" s="39">
        <v>0.3958333333333333</v>
      </c>
      <c r="D234" s="40">
        <f t="array" ref="D234">IFERROR(INDIRECT("'renta'!G$"&amp;MATCH(T234,renta!$A:$A,0))*0.975-(G234*INDIRECT("'renta'!G$"&amp;MATCH(F234,renta!$A:$A,0)))/B234-IFERROR((J234*INDIRECT("'renta'!G$"&amp;MATCH(I234,renta!$A:$A,0)))/B234,0),)</f>
        <v>6.056436663</v>
      </c>
      <c r="E234" s="41">
        <f t="shared" si="1"/>
        <v>11.2458466</v>
      </c>
      <c r="F234" s="40" t="s">
        <v>37</v>
      </c>
      <c r="G234" s="43">
        <f t="shared" si="2"/>
        <v>20.786</v>
      </c>
      <c r="H234" s="44" t="s">
        <v>1312</v>
      </c>
      <c r="I234" s="79"/>
      <c r="J234" s="79"/>
      <c r="K234" s="79"/>
      <c r="L234" s="38" t="s">
        <v>1313</v>
      </c>
      <c r="M234" s="46">
        <v>28.512</v>
      </c>
      <c r="N234" s="46">
        <v>21.0</v>
      </c>
      <c r="O234" s="42" t="s">
        <v>34</v>
      </c>
      <c r="P234" s="46">
        <v>24.0</v>
      </c>
      <c r="Q234" s="106">
        <f t="shared" si="19"/>
        <v>58</v>
      </c>
      <c r="R234" s="47">
        <f t="array" ref="R234">INDIRECT("'renta'!G$"&amp;MATCH(O234,renta!$A:$A,0))*P234</f>
        <v>3184.371672</v>
      </c>
      <c r="S234" s="48">
        <f t="shared" si="18"/>
        <v>12209.56897</v>
      </c>
      <c r="T234" s="49" t="str">
        <f t="shared" si="4"/>
        <v>ALGAE</v>
      </c>
      <c r="U234" s="50">
        <f t="shared" si="5"/>
        <v>0.5495797524</v>
      </c>
      <c r="V234" s="80"/>
      <c r="W234" s="52" t="str">
        <f t="shared" si="6"/>
        <v/>
      </c>
      <c r="X234" s="52"/>
      <c r="Y234" s="80">
        <v>0.0</v>
      </c>
      <c r="Z234" s="39">
        <v>-0.041666666666666664</v>
      </c>
      <c r="AA234" s="81" t="s">
        <v>1314</v>
      </c>
      <c r="AB234" s="82" t="s">
        <v>1315</v>
      </c>
      <c r="AC234" s="54" t="s">
        <v>1316</v>
      </c>
      <c r="AD234" s="50"/>
      <c r="AE234" s="83"/>
      <c r="AF234" s="40" t="s">
        <v>806</v>
      </c>
      <c r="AG234" s="40" t="s">
        <v>1317</v>
      </c>
      <c r="AH234" s="87">
        <v>4.0</v>
      </c>
      <c r="AI234" s="38">
        <v>0.47</v>
      </c>
    </row>
    <row r="235">
      <c r="A235" s="58" t="s">
        <v>1318</v>
      </c>
      <c r="B235" s="59">
        <v>6.0</v>
      </c>
      <c r="C235" s="60">
        <v>0.3645833333333333</v>
      </c>
      <c r="D235" s="61">
        <f t="array" ref="D235">IFERROR(INDIRECT("'renta'!G$"&amp;MATCH(T235,renta!$A:$A,0))*0.975-(G235*INDIRECT("'renta'!G$"&amp;MATCH(F235,renta!$A:$A,0)))/B235-IFERROR((J235*INDIRECT("'renta'!G$"&amp;MATCH(I235,renta!$A:$A,0)))/B235,0),)</f>
        <v>6.489493541</v>
      </c>
      <c r="E235" s="41">
        <f t="shared" si="1"/>
        <v>13.08281898</v>
      </c>
      <c r="F235" s="61" t="s">
        <v>37</v>
      </c>
      <c r="G235" s="62">
        <f t="shared" si="2"/>
        <v>20.6435</v>
      </c>
      <c r="H235" s="63" t="s">
        <v>1319</v>
      </c>
      <c r="I235" s="64"/>
      <c r="J235" s="64"/>
      <c r="K235" s="64"/>
      <c r="L235" s="59" t="s">
        <v>1320</v>
      </c>
      <c r="M235" s="65">
        <v>28.512</v>
      </c>
      <c r="N235" s="65">
        <v>21.0</v>
      </c>
      <c r="O235" s="66" t="s">
        <v>34</v>
      </c>
      <c r="P235" s="65">
        <v>30.0</v>
      </c>
      <c r="Q235" s="105">
        <f t="shared" si="19"/>
        <v>88</v>
      </c>
      <c r="R235" s="67">
        <f t="array" ref="R235">INDIRECT("'renta'!G$"&amp;MATCH(O235,renta!$A:$A,0))*P235</f>
        <v>3980.46459</v>
      </c>
      <c r="S235" s="68">
        <f t="shared" si="18"/>
        <v>16190.03357</v>
      </c>
      <c r="T235" s="69" t="str">
        <f t="shared" si="4"/>
        <v>ALGAE</v>
      </c>
      <c r="U235" s="70">
        <f t="shared" si="5"/>
        <v>0.4614969771</v>
      </c>
      <c r="V235" s="71"/>
      <c r="W235" s="72" t="str">
        <f t="shared" si="6"/>
        <v/>
      </c>
      <c r="X235" s="72"/>
      <c r="Y235" s="71">
        <v>0.0</v>
      </c>
      <c r="Z235" s="60">
        <v>-0.03125</v>
      </c>
      <c r="AA235" s="85" t="s">
        <v>1321</v>
      </c>
      <c r="AB235" s="74" t="s">
        <v>1322</v>
      </c>
      <c r="AC235" s="75" t="s">
        <v>1323</v>
      </c>
      <c r="AD235" s="70"/>
      <c r="AE235" s="76"/>
      <c r="AF235" s="61" t="s">
        <v>806</v>
      </c>
      <c r="AG235" s="61" t="s">
        <v>1324</v>
      </c>
      <c r="AH235" s="86">
        <v>4.0</v>
      </c>
      <c r="AI235" s="59">
        <v>0.47</v>
      </c>
    </row>
    <row r="236">
      <c r="A236" s="78" t="s">
        <v>1325</v>
      </c>
      <c r="B236" s="38">
        <v>6.0</v>
      </c>
      <c r="C236" s="39">
        <v>0.3333333333333333</v>
      </c>
      <c r="D236" s="40">
        <f t="array" ref="D236">IFERROR(INDIRECT("'renta'!G$"&amp;MATCH(T236,renta!$A:$A,0))*0.975-(G236*INDIRECT("'renta'!G$"&amp;MATCH(F236,renta!$A:$A,0)))/B236-IFERROR((J236*INDIRECT("'renta'!G$"&amp;MATCH(I236,renta!$A:$A,0)))/B236,0),)</f>
        <v>6.893679961</v>
      </c>
      <c r="E236" s="41">
        <f t="shared" si="1"/>
        <v>15.20056431</v>
      </c>
      <c r="F236" s="40" t="s">
        <v>37</v>
      </c>
      <c r="G236" s="43">
        <f t="shared" si="2"/>
        <v>20.5105</v>
      </c>
      <c r="H236" s="44" t="s">
        <v>1326</v>
      </c>
      <c r="I236" s="79"/>
      <c r="J236" s="79"/>
      <c r="K236" s="79"/>
      <c r="L236" s="38" t="s">
        <v>1327</v>
      </c>
      <c r="M236" s="46">
        <v>28.512</v>
      </c>
      <c r="N236" s="46">
        <v>21.0</v>
      </c>
      <c r="O236" s="42" t="s">
        <v>34</v>
      </c>
      <c r="P236" s="46">
        <v>38.0</v>
      </c>
      <c r="Q236" s="106">
        <f t="shared" si="19"/>
        <v>126</v>
      </c>
      <c r="R236" s="47">
        <f t="array" ref="R236">INDIRECT("'renta'!G$"&amp;MATCH(O236,renta!$A:$A,0))*P236</f>
        <v>5041.921814</v>
      </c>
      <c r="S236" s="48">
        <f t="shared" si="18"/>
        <v>21231.95538</v>
      </c>
      <c r="T236" s="49" t="str">
        <f t="shared" si="4"/>
        <v>ALGAE</v>
      </c>
      <c r="U236" s="50">
        <f t="shared" si="5"/>
        <v>0.4200274049</v>
      </c>
      <c r="V236" s="80"/>
      <c r="W236" s="52" t="str">
        <f t="shared" si="6"/>
        <v/>
      </c>
      <c r="X236" s="52"/>
      <c r="Y236" s="80">
        <v>0.0</v>
      </c>
      <c r="Z236" s="39">
        <v>-0.03125</v>
      </c>
      <c r="AA236" s="81" t="s">
        <v>1328</v>
      </c>
      <c r="AB236" s="82" t="s">
        <v>1329</v>
      </c>
      <c r="AC236" s="54" t="s">
        <v>1330</v>
      </c>
      <c r="AD236" s="50"/>
      <c r="AE236" s="83"/>
      <c r="AF236" s="40" t="s">
        <v>806</v>
      </c>
      <c r="AG236" s="40" t="s">
        <v>1331</v>
      </c>
      <c r="AH236" s="87">
        <v>4.0</v>
      </c>
      <c r="AI236" s="38">
        <v>0.47</v>
      </c>
    </row>
    <row r="237">
      <c r="A237" s="58" t="s">
        <v>1332</v>
      </c>
      <c r="B237" s="59">
        <v>8.0</v>
      </c>
      <c r="C237" s="60">
        <v>0.4375</v>
      </c>
      <c r="D237" s="61">
        <f t="array" ref="D237">IFERROR(INDIRECT("'renta'!G$"&amp;MATCH(T237,renta!$A:$A,0))*0.975-(G237*INDIRECT("'renta'!G$"&amp;MATCH(F237,renta!$A:$A,0)))/B237-IFERROR((J237*INDIRECT("'renta'!G$"&amp;MATCH(I237,renta!$A:$A,0)))/B237,0),)</f>
        <v>7.254560693</v>
      </c>
      <c r="E237" s="41">
        <f t="shared" si="1"/>
        <v>16.25021595</v>
      </c>
      <c r="F237" s="61" t="s">
        <v>37</v>
      </c>
      <c r="G237" s="62">
        <f t="shared" si="2"/>
        <v>27.189</v>
      </c>
      <c r="H237" s="63" t="s">
        <v>1333</v>
      </c>
      <c r="I237" s="64"/>
      <c r="J237" s="64"/>
      <c r="K237" s="64"/>
      <c r="L237" s="59" t="s">
        <v>1334</v>
      </c>
      <c r="M237" s="65">
        <v>37.6</v>
      </c>
      <c r="N237" s="65">
        <v>21.0</v>
      </c>
      <c r="O237" s="66" t="s">
        <v>34</v>
      </c>
      <c r="P237" s="65">
        <v>48.0</v>
      </c>
      <c r="Q237" s="105">
        <f t="shared" si="19"/>
        <v>174</v>
      </c>
      <c r="R237" s="67">
        <f t="array" ref="R237">INDIRECT("'renta'!G$"&amp;MATCH(O237,renta!$A:$A,0))*P237</f>
        <v>6368.743345</v>
      </c>
      <c r="S237" s="68">
        <f t="shared" si="18"/>
        <v>27600.69872</v>
      </c>
      <c r="T237" s="69" t="str">
        <f t="shared" si="4"/>
        <v>ALGAE</v>
      </c>
      <c r="U237" s="109">
        <f t="shared" si="5"/>
        <v>0.1648129908</v>
      </c>
      <c r="V237" s="71">
        <v>37.6</v>
      </c>
      <c r="W237" s="72">
        <f t="shared" si="6"/>
        <v>1.543523552</v>
      </c>
      <c r="X237" s="72"/>
      <c r="Y237" s="71">
        <v>2.0</v>
      </c>
      <c r="Z237" s="60">
        <v>0.10416666666666667</v>
      </c>
      <c r="AA237" s="85" t="s">
        <v>1335</v>
      </c>
      <c r="AB237" s="74" t="s">
        <v>1336</v>
      </c>
      <c r="AC237" s="75" t="s">
        <v>1337</v>
      </c>
      <c r="AD237" s="70"/>
      <c r="AE237" s="76"/>
      <c r="AF237" s="61" t="s">
        <v>806</v>
      </c>
      <c r="AG237" s="61" t="s">
        <v>1338</v>
      </c>
      <c r="AH237" s="86">
        <v>4.0</v>
      </c>
      <c r="AI237" s="59">
        <v>0.47</v>
      </c>
    </row>
    <row r="238">
      <c r="A238" s="78" t="s">
        <v>1339</v>
      </c>
      <c r="B238" s="38">
        <v>8.0</v>
      </c>
      <c r="C238" s="39">
        <v>0.3958333333333333</v>
      </c>
      <c r="D238" s="40">
        <f t="array" ref="D238">IFERROR(INDIRECT("'renta'!G$"&amp;MATCH(T238,renta!$A:$A,0))*0.975-(G238*INDIRECT("'renta'!G$"&amp;MATCH(F238,renta!$A:$A,0)))/B238-IFERROR((J238*INDIRECT("'renta'!G$"&amp;MATCH(I238,renta!$A:$A,0)))/B238,0),)</f>
        <v>7.62265904</v>
      </c>
      <c r="E238" s="41">
        <f t="shared" si="1"/>
        <v>18.87209901</v>
      </c>
      <c r="F238" s="40" t="s">
        <v>37</v>
      </c>
      <c r="G238" s="43">
        <f t="shared" si="2"/>
        <v>27.0275</v>
      </c>
      <c r="H238" s="44" t="s">
        <v>1340</v>
      </c>
      <c r="I238" s="79"/>
      <c r="J238" s="79"/>
      <c r="K238" s="79"/>
      <c r="L238" s="38" t="s">
        <v>1341</v>
      </c>
      <c r="M238" s="46">
        <v>37.6</v>
      </c>
      <c r="N238" s="46">
        <v>21.0</v>
      </c>
      <c r="O238" s="42" t="s">
        <v>34</v>
      </c>
      <c r="P238" s="46">
        <v>61.0</v>
      </c>
      <c r="Q238" s="106">
        <f t="shared" si="19"/>
        <v>235</v>
      </c>
      <c r="R238" s="47">
        <f t="array" ref="R238">INDIRECT("'renta'!G$"&amp;MATCH(O238,renta!$A:$A,0))*P238</f>
        <v>8093.611334</v>
      </c>
      <c r="S238" s="48">
        <f t="shared" si="18"/>
        <v>35694.31006</v>
      </c>
      <c r="T238" s="49" t="str">
        <f t="shared" si="4"/>
        <v>ALGAE</v>
      </c>
      <c r="U238" s="50">
        <f t="shared" si="5"/>
        <v>0.3239447697</v>
      </c>
      <c r="V238" s="80">
        <v>37.6</v>
      </c>
      <c r="W238" s="52">
        <f t="shared" si="6"/>
        <v>1.621842349</v>
      </c>
      <c r="X238" s="52"/>
      <c r="Y238" s="80">
        <v>0.0</v>
      </c>
      <c r="Z238" s="39">
        <v>-0.041666666666666664</v>
      </c>
      <c r="AA238" s="81" t="s">
        <v>1314</v>
      </c>
      <c r="AB238" s="82" t="s">
        <v>1342</v>
      </c>
      <c r="AC238" s="54" t="s">
        <v>1343</v>
      </c>
      <c r="AD238" s="50"/>
      <c r="AE238" s="83"/>
      <c r="AF238" s="40" t="s">
        <v>806</v>
      </c>
      <c r="AG238" s="40" t="s">
        <v>1344</v>
      </c>
      <c r="AH238" s="87">
        <v>4.0</v>
      </c>
      <c r="AI238" s="38">
        <v>0.47</v>
      </c>
    </row>
    <row r="239">
      <c r="A239" s="58" t="s">
        <v>1345</v>
      </c>
      <c r="B239" s="59">
        <v>8.0</v>
      </c>
      <c r="C239" s="60">
        <v>0.375</v>
      </c>
      <c r="D239" s="61">
        <f t="array" ref="D239">IFERROR(INDIRECT("'renta'!G$"&amp;MATCH(T239,renta!$A:$A,0))*0.975-(G239*INDIRECT("'renta'!G$"&amp;MATCH(F239,renta!$A:$A,0)))/B239-IFERROR((J239*INDIRECT("'renta'!G$"&amp;MATCH(I239,renta!$A:$A,0)))/B239,0),)</f>
        <v>7.990757387</v>
      </c>
      <c r="E239" s="41">
        <f t="shared" si="1"/>
        <v>20.88251264</v>
      </c>
      <c r="F239" s="61" t="s">
        <v>37</v>
      </c>
      <c r="G239" s="62">
        <f t="shared" si="2"/>
        <v>26.866</v>
      </c>
      <c r="H239" s="63" t="s">
        <v>1346</v>
      </c>
      <c r="I239" s="64"/>
      <c r="J239" s="64"/>
      <c r="K239" s="64"/>
      <c r="L239" s="59" t="s">
        <v>1347</v>
      </c>
      <c r="M239" s="65">
        <v>37.6</v>
      </c>
      <c r="N239" s="65">
        <v>21.0</v>
      </c>
      <c r="O239" s="66" t="s">
        <v>34</v>
      </c>
      <c r="P239" s="65">
        <v>76.0</v>
      </c>
      <c r="Q239" s="105">
        <f t="shared" si="19"/>
        <v>311</v>
      </c>
      <c r="R239" s="67">
        <f t="array" ref="R239">INDIRECT("'renta'!G$"&amp;MATCH(O239,renta!$A:$A,0))*P239</f>
        <v>10083.84363</v>
      </c>
      <c r="S239" s="68">
        <f t="shared" si="18"/>
        <v>45778.15369</v>
      </c>
      <c r="T239" s="69" t="str">
        <f t="shared" si="4"/>
        <v>ALGAE</v>
      </c>
      <c r="U239" s="70">
        <f t="shared" si="5"/>
        <v>0.1993697739</v>
      </c>
      <c r="V239" s="71">
        <v>37.6</v>
      </c>
      <c r="W239" s="72">
        <f t="shared" si="6"/>
        <v>1.700161146</v>
      </c>
      <c r="X239" s="72"/>
      <c r="Y239" s="71">
        <v>0.0</v>
      </c>
      <c r="Z239" s="60">
        <v>-0.020833333333333332</v>
      </c>
      <c r="AA239" s="85" t="s">
        <v>1348</v>
      </c>
      <c r="AB239" s="74" t="s">
        <v>1349</v>
      </c>
      <c r="AC239" s="75" t="s">
        <v>1350</v>
      </c>
      <c r="AD239" s="70"/>
      <c r="AE239" s="76"/>
      <c r="AF239" s="61" t="s">
        <v>806</v>
      </c>
      <c r="AG239" s="61" t="s">
        <v>1351</v>
      </c>
      <c r="AH239" s="86">
        <v>4.0</v>
      </c>
      <c r="AI239" s="59">
        <v>0.47</v>
      </c>
    </row>
    <row r="240">
      <c r="A240" s="78" t="s">
        <v>1352</v>
      </c>
      <c r="B240" s="38">
        <v>8.0</v>
      </c>
      <c r="C240" s="39">
        <v>0.3541666666666667</v>
      </c>
      <c r="D240" s="40">
        <f t="array" ref="D240">IFERROR(INDIRECT("'renta'!G$"&amp;MATCH(T240,renta!$A:$A,0))*0.975-(G240*INDIRECT("'renta'!G$"&amp;MATCH(F240,renta!$A:$A,0)))/B240-IFERROR((J240*INDIRECT("'renta'!G$"&amp;MATCH(I240,renta!$A:$A,0)))/B240,0),)</f>
        <v>8.33720289</v>
      </c>
      <c r="E240" s="41">
        <f t="shared" si="1"/>
        <v>23.06953082</v>
      </c>
      <c r="F240" s="40" t="s">
        <v>37</v>
      </c>
      <c r="G240" s="43">
        <f t="shared" si="2"/>
        <v>26.714</v>
      </c>
      <c r="H240" s="44" t="s">
        <v>1353</v>
      </c>
      <c r="I240" s="79"/>
      <c r="J240" s="79"/>
      <c r="K240" s="79"/>
      <c r="L240" s="38" t="s">
        <v>1354</v>
      </c>
      <c r="M240" s="46">
        <v>37.6</v>
      </c>
      <c r="N240" s="46">
        <v>21.0</v>
      </c>
      <c r="O240" s="42" t="s">
        <v>34</v>
      </c>
      <c r="P240" s="46">
        <v>96.0</v>
      </c>
      <c r="Q240" s="106">
        <f t="shared" si="19"/>
        <v>407</v>
      </c>
      <c r="R240" s="47">
        <f t="array" ref="R240">INDIRECT("'renta'!G$"&amp;MATCH(O240,renta!$A:$A,0))*P240</f>
        <v>12737.48669</v>
      </c>
      <c r="S240" s="48">
        <f t="shared" si="18"/>
        <v>58515.64038</v>
      </c>
      <c r="T240" s="49" t="str">
        <f t="shared" si="4"/>
        <v>ALGAE</v>
      </c>
      <c r="U240" s="50">
        <f t="shared" si="5"/>
        <v>0.1716993497</v>
      </c>
      <c r="V240" s="80">
        <v>37.6</v>
      </c>
      <c r="W240" s="52">
        <f t="shared" si="6"/>
        <v>1.773872955</v>
      </c>
      <c r="X240" s="52"/>
      <c r="Y240" s="80">
        <v>0.0</v>
      </c>
      <c r="Z240" s="39">
        <v>-0.020833333333333332</v>
      </c>
      <c r="AA240" s="81" t="s">
        <v>1355</v>
      </c>
      <c r="AB240" s="82" t="s">
        <v>1356</v>
      </c>
      <c r="AC240" s="54" t="s">
        <v>1357</v>
      </c>
      <c r="AD240" s="50"/>
      <c r="AE240" s="83"/>
      <c r="AF240" s="40" t="s">
        <v>806</v>
      </c>
      <c r="AG240" s="40" t="s">
        <v>1358</v>
      </c>
      <c r="AH240" s="87">
        <v>4.0</v>
      </c>
      <c r="AI240" s="38">
        <v>0.47</v>
      </c>
    </row>
    <row r="241">
      <c r="A241" s="58" t="s">
        <v>1359</v>
      </c>
      <c r="B241" s="59">
        <v>8.0</v>
      </c>
      <c r="C241" s="60">
        <v>0.3333333333333333</v>
      </c>
      <c r="D241" s="61">
        <f t="array" ref="D241">IFERROR(INDIRECT("'renta'!G$"&amp;MATCH(T241,renta!$A:$A,0))*0.975-(G241*INDIRECT("'renta'!G$"&amp;MATCH(F241,renta!$A:$A,0)))/B241-IFERROR((J241*INDIRECT("'renta'!G$"&amp;MATCH(I241,renta!$A:$A,0)))/B241,0),)</f>
        <v>8.661995548</v>
      </c>
      <c r="E241" s="41">
        <f t="shared" si="1"/>
        <v>25.46626691</v>
      </c>
      <c r="F241" s="61" t="s">
        <v>37</v>
      </c>
      <c r="G241" s="62">
        <f t="shared" si="2"/>
        <v>26.5715</v>
      </c>
      <c r="H241" s="63" t="s">
        <v>1360</v>
      </c>
      <c r="I241" s="64"/>
      <c r="J241" s="64"/>
      <c r="K241" s="64"/>
      <c r="L241" s="59" t="s">
        <v>1361</v>
      </c>
      <c r="M241" s="65">
        <v>37.6</v>
      </c>
      <c r="N241" s="65">
        <v>21.0</v>
      </c>
      <c r="O241" s="66" t="s">
        <v>34</v>
      </c>
      <c r="P241" s="65">
        <v>120.0</v>
      </c>
      <c r="Q241" s="105">
        <f t="shared" si="19"/>
        <v>527</v>
      </c>
      <c r="R241" s="67">
        <f t="array" ref="R241">INDIRECT("'renta'!G$"&amp;MATCH(O241,renta!$A:$A,0))*P241</f>
        <v>15921.85836</v>
      </c>
      <c r="S241" s="68">
        <f t="shared" si="18"/>
        <v>74437.49874</v>
      </c>
      <c r="T241" s="69" t="str">
        <f t="shared" si="4"/>
        <v>ALGAE</v>
      </c>
      <c r="U241" s="70">
        <f t="shared" si="5"/>
        <v>0.1505311779</v>
      </c>
      <c r="V241" s="71">
        <v>37.6</v>
      </c>
      <c r="W241" s="72">
        <f t="shared" si="6"/>
        <v>1.842977776</v>
      </c>
      <c r="X241" s="72"/>
      <c r="Y241" s="71">
        <v>0.0</v>
      </c>
      <c r="Z241" s="60">
        <v>-0.020833333333333332</v>
      </c>
      <c r="AA241" s="85" t="s">
        <v>1054</v>
      </c>
      <c r="AB241" s="74" t="s">
        <v>1362</v>
      </c>
      <c r="AC241" s="75" t="s">
        <v>1363</v>
      </c>
      <c r="AD241" s="70"/>
      <c r="AE241" s="76"/>
      <c r="AF241" s="61" t="s">
        <v>806</v>
      </c>
      <c r="AG241" s="61" t="s">
        <v>1364</v>
      </c>
      <c r="AH241" s="86">
        <v>4.0</v>
      </c>
      <c r="AI241" s="59">
        <v>0.47</v>
      </c>
    </row>
    <row r="242">
      <c r="A242" s="78" t="s">
        <v>42</v>
      </c>
      <c r="B242" s="38">
        <v>10.0</v>
      </c>
      <c r="C242" s="39">
        <v>0.3333333333333333</v>
      </c>
      <c r="D242" s="40">
        <f t="array" ref="D242">IFERROR(INDIRECT("'renta'!G$"&amp;MATCH(T242,renta!$A:$A,0))*0.975-(G242*INDIRECT("'renta'!G$"&amp;MATCH(F242,renta!$A:$A,0)))/B242-IFERROR((J242*INDIRECT("'renta'!G$"&amp;MATCH(I242,renta!$A:$A,0)))/B242,0),)</f>
        <v>8.97812707</v>
      </c>
      <c r="E242" s="41">
        <f t="shared" si="1"/>
        <v>32.99461698</v>
      </c>
      <c r="F242" s="40" t="s">
        <v>37</v>
      </c>
      <c r="G242" s="43">
        <f t="shared" si="2"/>
        <v>33.041</v>
      </c>
      <c r="H242" s="44" t="s">
        <v>1365</v>
      </c>
      <c r="I242" s="79"/>
      <c r="J242" s="79"/>
      <c r="K242" s="79"/>
      <c r="L242" s="38" t="s">
        <v>1366</v>
      </c>
      <c r="M242" s="46">
        <v>42.5</v>
      </c>
      <c r="N242" s="46">
        <v>21.0</v>
      </c>
      <c r="O242" s="42" t="s">
        <v>34</v>
      </c>
      <c r="P242" s="46">
        <v>150.0</v>
      </c>
      <c r="Q242" s="106">
        <f t="shared" si="19"/>
        <v>677</v>
      </c>
      <c r="R242" s="47">
        <f t="array" ref="R242">INDIRECT("'renta'!G$"&amp;MATCH(O242,renta!$A:$A,0))*P242</f>
        <v>19902.32295</v>
      </c>
      <c r="S242" s="48">
        <f t="shared" si="18"/>
        <v>94339.82169</v>
      </c>
      <c r="T242" s="49" t="str">
        <f t="shared" si="4"/>
        <v>ALGAE</v>
      </c>
      <c r="U242" s="50">
        <f t="shared" si="5"/>
        <v>0.3782648933</v>
      </c>
      <c r="V242" s="80">
        <v>42.5</v>
      </c>
      <c r="W242" s="52">
        <f t="shared" si="6"/>
        <v>2.112500487</v>
      </c>
      <c r="X242" s="52"/>
      <c r="Y242" s="80">
        <v>2.0</v>
      </c>
      <c r="Z242" s="39">
        <v>0.0</v>
      </c>
      <c r="AA242" s="53">
        <v>0.25</v>
      </c>
      <c r="AB242" s="82" t="s">
        <v>1367</v>
      </c>
      <c r="AC242" s="54" t="s">
        <v>1368</v>
      </c>
      <c r="AD242" s="50"/>
      <c r="AE242" s="83"/>
      <c r="AF242" s="40" t="s">
        <v>806</v>
      </c>
      <c r="AG242" s="40" t="s">
        <v>1369</v>
      </c>
      <c r="AH242" s="87">
        <v>5.0</v>
      </c>
      <c r="AI242" s="38">
        <v>0.47</v>
      </c>
    </row>
    <row r="243">
      <c r="A243" s="96"/>
      <c r="B243" s="97"/>
      <c r="C243" s="98"/>
      <c r="D243" s="61" t="str">
        <f t="array" ref="D243">IFERROR(INDIRECT("'renta'!G$"&amp;MATCH(T243,renta!$A:$A,0))*0.975-(G243*INDIRECT("'renta'!G$"&amp;MATCH(F243,renta!$A:$A,0)))/B243-IFERROR((J243*INDIRECT("'renta'!G$"&amp;MATCH(I243,renta!$A:$A,0)))/B243,0),)</f>
        <v/>
      </c>
      <c r="E243" s="41">
        <f t="shared" si="1"/>
        <v>0</v>
      </c>
      <c r="F243" s="64"/>
      <c r="G243" s="62">
        <f t="shared" si="2"/>
        <v>0</v>
      </c>
      <c r="H243" s="99"/>
      <c r="I243" s="64"/>
      <c r="J243" s="64"/>
      <c r="K243" s="64"/>
      <c r="L243" s="100"/>
      <c r="M243" s="101"/>
      <c r="N243" s="101"/>
      <c r="O243" s="102"/>
      <c r="P243" s="101"/>
      <c r="Q243" s="101"/>
      <c r="R243" s="67"/>
      <c r="S243" s="68"/>
      <c r="T243" s="69" t="str">
        <f t="shared" si="4"/>
        <v/>
      </c>
      <c r="U243" s="70" t="str">
        <f t="shared" si="5"/>
        <v>#DIV/0!</v>
      </c>
      <c r="V243" s="103"/>
      <c r="W243" s="72" t="str">
        <f t="shared" si="6"/>
        <v/>
      </c>
      <c r="X243" s="72"/>
      <c r="Y243" s="103"/>
      <c r="Z243" s="98"/>
      <c r="AA243" s="104"/>
      <c r="AB243" s="70"/>
      <c r="AC243" s="76"/>
      <c r="AD243" s="70"/>
      <c r="AE243" s="76"/>
      <c r="AF243" s="64"/>
      <c r="AG243" s="64"/>
      <c r="AH243" s="77"/>
      <c r="AI243" s="98"/>
    </row>
    <row r="244">
      <c r="A244" s="78" t="s">
        <v>1370</v>
      </c>
      <c r="B244" s="38">
        <v>1.0</v>
      </c>
      <c r="C244" s="39">
        <v>0.3333333333333333</v>
      </c>
      <c r="D244" s="40">
        <f t="array" ref="D244">IFERROR(INDIRECT("'renta'!G$"&amp;MATCH(T244,renta!$A:$A,0))*0.975-(G244*INDIRECT("'renta'!G$"&amp;MATCH(F244,renta!$A:$A,0)))/B244-IFERROR((J244*INDIRECT("'renta'!G$"&amp;MATCH(I244,renta!$A:$A,0)))/B244,0),)</f>
        <v>4.292156268</v>
      </c>
      <c r="E244" s="41">
        <f t="shared" si="1"/>
        <v>1.073039067</v>
      </c>
      <c r="F244" s="40" t="s">
        <v>57</v>
      </c>
      <c r="G244" s="43">
        <f t="shared" si="2"/>
        <v>3.8</v>
      </c>
      <c r="H244" s="44" t="s">
        <v>1244</v>
      </c>
      <c r="I244" s="79"/>
      <c r="J244" s="79"/>
      <c r="K244" s="79"/>
      <c r="L244" s="38" t="s">
        <v>137</v>
      </c>
      <c r="M244" s="46">
        <v>8.335</v>
      </c>
      <c r="N244" s="46">
        <v>30.0</v>
      </c>
      <c r="O244" s="42" t="s">
        <v>12</v>
      </c>
      <c r="P244" s="46">
        <v>1.0</v>
      </c>
      <c r="Q244" s="48">
        <f>SUM(P$244:P244)</f>
        <v>1</v>
      </c>
      <c r="R244" s="47">
        <f t="array" ref="R244">INDIRECT("'renta'!G$"&amp;MATCH(O244,renta!$A:$A,0))*P244</f>
        <v>0.0041</v>
      </c>
      <c r="S244" s="48">
        <f t="shared" ref="S244:S263" si="20">SUM(R$244:R244)</f>
        <v>0.0041</v>
      </c>
      <c r="T244" s="49" t="str">
        <f t="shared" si="4"/>
        <v>LAVA</v>
      </c>
      <c r="U244" s="50">
        <f t="shared" si="5"/>
        <v>261716.8456</v>
      </c>
      <c r="V244" s="80"/>
      <c r="W244" s="52" t="str">
        <f t="shared" si="6"/>
        <v/>
      </c>
      <c r="X244" s="52"/>
      <c r="Y244" s="80">
        <v>0.0</v>
      </c>
      <c r="Z244" s="39">
        <v>0.0</v>
      </c>
      <c r="AA244" s="53">
        <v>0.0</v>
      </c>
      <c r="AB244" s="82" t="s">
        <v>1246</v>
      </c>
      <c r="AC244" s="54" t="s">
        <v>1371</v>
      </c>
      <c r="AD244" s="50"/>
      <c r="AE244" s="83"/>
      <c r="AF244" s="40" t="s">
        <v>806</v>
      </c>
      <c r="AG244" s="40" t="s">
        <v>1372</v>
      </c>
      <c r="AH244" s="87">
        <v>4.0</v>
      </c>
      <c r="AI244" s="39"/>
    </row>
    <row r="245">
      <c r="A245" s="58" t="s">
        <v>1373</v>
      </c>
      <c r="B245" s="59">
        <v>2.0</v>
      </c>
      <c r="C245" s="60">
        <v>0.5416666666666666</v>
      </c>
      <c r="D245" s="61">
        <f t="array" ref="D245">IFERROR(INDIRECT("'renta'!G$"&amp;MATCH(T245,renta!$A:$A,0))*0.975-(G245*INDIRECT("'renta'!G$"&amp;MATCH(F245,renta!$A:$A,0)))/B245-IFERROR((J245*INDIRECT("'renta'!G$"&amp;MATCH(I245,renta!$A:$A,0)))/B245,0),)</f>
        <v>6.589234705</v>
      </c>
      <c r="E245" s="41">
        <f t="shared" si="1"/>
        <v>2.027456832</v>
      </c>
      <c r="F245" s="61" t="s">
        <v>57</v>
      </c>
      <c r="G245" s="62">
        <f t="shared" si="2"/>
        <v>7.524</v>
      </c>
      <c r="H245" s="63" t="s">
        <v>1249</v>
      </c>
      <c r="I245" s="64"/>
      <c r="J245" s="64"/>
      <c r="K245" s="64"/>
      <c r="L245" s="59" t="s">
        <v>1250</v>
      </c>
      <c r="M245" s="65">
        <v>16.63</v>
      </c>
      <c r="N245" s="65">
        <v>30.0</v>
      </c>
      <c r="O245" s="66" t="s">
        <v>30</v>
      </c>
      <c r="P245" s="65">
        <v>3.0</v>
      </c>
      <c r="Q245" s="65"/>
      <c r="R245" s="67">
        <f t="array" ref="R245">INDIRECT("'renta'!G$"&amp;MATCH(O245,renta!$A:$A,0))*P245</f>
        <v>111</v>
      </c>
      <c r="S245" s="68">
        <f t="shared" si="20"/>
        <v>111.0041</v>
      </c>
      <c r="T245" s="69" t="str">
        <f t="shared" si="4"/>
        <v>LAVA</v>
      </c>
      <c r="U245" s="70">
        <f t="shared" si="5"/>
        <v>8.598358247</v>
      </c>
      <c r="V245" s="71"/>
      <c r="W245" s="72" t="str">
        <f t="shared" si="6"/>
        <v/>
      </c>
      <c r="X245" s="72"/>
      <c r="Y245" s="71">
        <v>1.0</v>
      </c>
      <c r="Z245" s="60">
        <v>0.20833333333333334</v>
      </c>
      <c r="AA245" s="85" t="s">
        <v>1374</v>
      </c>
      <c r="AB245" s="74" t="s">
        <v>1375</v>
      </c>
      <c r="AC245" s="75" t="s">
        <v>1371</v>
      </c>
      <c r="AD245" s="70"/>
      <c r="AE245" s="76"/>
      <c r="AF245" s="61" t="s">
        <v>806</v>
      </c>
      <c r="AG245" s="61" t="s">
        <v>1376</v>
      </c>
      <c r="AH245" s="86">
        <v>4.0</v>
      </c>
      <c r="AI245" s="60"/>
    </row>
    <row r="246">
      <c r="A246" s="78" t="s">
        <v>1377</v>
      </c>
      <c r="B246" s="38">
        <v>2.0</v>
      </c>
      <c r="C246" s="39">
        <v>0.4791666666666667</v>
      </c>
      <c r="D246" s="40">
        <f t="array" ref="D246">IFERROR(INDIRECT("'renta'!G$"&amp;MATCH(T246,renta!$A:$A,0))*0.975-(G246*INDIRECT("'renta'!G$"&amp;MATCH(F246,renta!$A:$A,0)))/B246-IFERROR((J246*INDIRECT("'renta'!G$"&amp;MATCH(I246,renta!$A:$A,0)))/B246,0),)</f>
        <v>8.886313142</v>
      </c>
      <c r="E246" s="41">
        <f t="shared" si="1"/>
        <v>3.090891528</v>
      </c>
      <c r="F246" s="40" t="s">
        <v>57</v>
      </c>
      <c r="G246" s="43">
        <f t="shared" si="2"/>
        <v>7.448</v>
      </c>
      <c r="H246" s="44" t="s">
        <v>1254</v>
      </c>
      <c r="I246" s="79"/>
      <c r="J246" s="79"/>
      <c r="K246" s="79"/>
      <c r="L246" s="38" t="s">
        <v>1255</v>
      </c>
      <c r="M246" s="46">
        <v>16.63</v>
      </c>
      <c r="N246" s="46">
        <v>30.0</v>
      </c>
      <c r="O246" s="42" t="s">
        <v>30</v>
      </c>
      <c r="P246" s="46">
        <v>5.0</v>
      </c>
      <c r="Q246" s="46"/>
      <c r="R246" s="47">
        <f t="array" ref="R246">INDIRECT("'renta'!G$"&amp;MATCH(O246,renta!$A:$A,0))*P246</f>
        <v>185</v>
      </c>
      <c r="S246" s="48">
        <f t="shared" si="20"/>
        <v>296.0041</v>
      </c>
      <c r="T246" s="49" t="str">
        <f t="shared" si="4"/>
        <v>LAVA</v>
      </c>
      <c r="U246" s="50">
        <f t="shared" si="5"/>
        <v>5.748295651</v>
      </c>
      <c r="V246" s="80"/>
      <c r="W246" s="52" t="str">
        <f t="shared" si="6"/>
        <v/>
      </c>
      <c r="X246" s="52"/>
      <c r="Y246" s="80">
        <v>0.0</v>
      </c>
      <c r="Z246" s="39">
        <v>-0.0625</v>
      </c>
      <c r="AA246" s="81" t="s">
        <v>1378</v>
      </c>
      <c r="AB246" s="82" t="s">
        <v>1379</v>
      </c>
      <c r="AC246" s="54" t="s">
        <v>1380</v>
      </c>
      <c r="AD246" s="50"/>
      <c r="AE246" s="83"/>
      <c r="AF246" s="40" t="s">
        <v>806</v>
      </c>
      <c r="AG246" s="40" t="s">
        <v>1381</v>
      </c>
      <c r="AH246" s="87">
        <v>4.0</v>
      </c>
      <c r="AI246" s="39"/>
    </row>
    <row r="247">
      <c r="A247" s="58" t="s">
        <v>1382</v>
      </c>
      <c r="B247" s="59">
        <v>2.0</v>
      </c>
      <c r="C247" s="60">
        <v>0.4375</v>
      </c>
      <c r="D247" s="61">
        <f t="array" ref="D247">IFERROR(INDIRECT("'renta'!G$"&amp;MATCH(T247,renta!$A:$A,0))*0.975-(G247*INDIRECT("'renta'!G$"&amp;MATCH(F247,renta!$A:$A,0)))/B247-IFERROR((J247*INDIRECT("'renta'!G$"&amp;MATCH(I247,renta!$A:$A,0)))/B247,0),)</f>
        <v>11.18339158</v>
      </c>
      <c r="E247" s="41">
        <f t="shared" si="1"/>
        <v>4.260339649</v>
      </c>
      <c r="F247" s="61" t="s">
        <v>57</v>
      </c>
      <c r="G247" s="62">
        <f t="shared" si="2"/>
        <v>7.372</v>
      </c>
      <c r="H247" s="63" t="s">
        <v>1261</v>
      </c>
      <c r="I247" s="64"/>
      <c r="J247" s="64"/>
      <c r="K247" s="64"/>
      <c r="L247" s="59" t="s">
        <v>1262</v>
      </c>
      <c r="M247" s="65">
        <v>16.63</v>
      </c>
      <c r="N247" s="65">
        <v>30.0</v>
      </c>
      <c r="O247" s="66" t="s">
        <v>30</v>
      </c>
      <c r="P247" s="65">
        <v>8.0</v>
      </c>
      <c r="Q247" s="65"/>
      <c r="R247" s="67">
        <f t="array" ref="R247">INDIRECT("'renta'!G$"&amp;MATCH(O247,renta!$A:$A,0))*P247</f>
        <v>296</v>
      </c>
      <c r="S247" s="68">
        <f t="shared" si="20"/>
        <v>592.0041</v>
      </c>
      <c r="T247" s="69" t="str">
        <f t="shared" si="4"/>
        <v>LAVA</v>
      </c>
      <c r="U247" s="70">
        <f t="shared" si="5"/>
        <v>3.950838249</v>
      </c>
      <c r="V247" s="71"/>
      <c r="W247" s="72" t="str">
        <f t="shared" si="6"/>
        <v/>
      </c>
      <c r="X247" s="72"/>
      <c r="Y247" s="71">
        <v>0.0</v>
      </c>
      <c r="Z247" s="60">
        <v>-0.041666666666666664</v>
      </c>
      <c r="AA247" s="85" t="s">
        <v>1308</v>
      </c>
      <c r="AB247" s="74" t="s">
        <v>1383</v>
      </c>
      <c r="AC247" s="75" t="s">
        <v>1384</v>
      </c>
      <c r="AD247" s="70"/>
      <c r="AE247" s="76"/>
      <c r="AF247" s="61" t="s">
        <v>806</v>
      </c>
      <c r="AG247" s="61" t="s">
        <v>1385</v>
      </c>
      <c r="AH247" s="86">
        <v>4.0</v>
      </c>
      <c r="AI247" s="60"/>
    </row>
    <row r="248">
      <c r="A248" s="78" t="s">
        <v>1386</v>
      </c>
      <c r="B248" s="38">
        <v>3.0</v>
      </c>
      <c r="C248" s="39">
        <v>0.625</v>
      </c>
      <c r="D248" s="40">
        <f t="array" ref="D248">IFERROR(INDIRECT("'renta'!G$"&amp;MATCH(T248,renta!$A:$A,0))*0.975-(G248*INDIRECT("'renta'!G$"&amp;MATCH(F248,renta!$A:$A,0)))/B248-IFERROR((J248*INDIRECT("'renta'!G$"&amp;MATCH(I248,renta!$A:$A,0)))/B248,0),)</f>
        <v>13.09762361</v>
      </c>
      <c r="E248" s="41">
        <f t="shared" si="1"/>
        <v>5.239049444</v>
      </c>
      <c r="F248" s="40" t="s">
        <v>57</v>
      </c>
      <c r="G248" s="43">
        <f t="shared" si="2"/>
        <v>10.963</v>
      </c>
      <c r="H248" s="44" t="s">
        <v>1387</v>
      </c>
      <c r="I248" s="79"/>
      <c r="J248" s="79"/>
      <c r="K248" s="79"/>
      <c r="L248" s="38" t="s">
        <v>1269</v>
      </c>
      <c r="M248" s="46">
        <v>24.69</v>
      </c>
      <c r="N248" s="46">
        <v>30.0</v>
      </c>
      <c r="O248" s="42" t="s">
        <v>30</v>
      </c>
      <c r="P248" s="46">
        <v>11.0</v>
      </c>
      <c r="Q248" s="46"/>
      <c r="R248" s="47">
        <f t="array" ref="R248">INDIRECT("'renta'!G$"&amp;MATCH(O248,renta!$A:$A,0))*P248</f>
        <v>407</v>
      </c>
      <c r="S248" s="48">
        <f t="shared" si="20"/>
        <v>999.0041</v>
      </c>
      <c r="T248" s="49" t="str">
        <f t="shared" si="4"/>
        <v>LAVA</v>
      </c>
      <c r="U248" s="50">
        <f t="shared" si="5"/>
        <v>2.404692371</v>
      </c>
      <c r="V248" s="80">
        <v>24.7</v>
      </c>
      <c r="W248" s="52">
        <f t="shared" si="6"/>
        <v>1.590804487</v>
      </c>
      <c r="X248" s="52"/>
      <c r="Y248" s="80">
        <v>1.0</v>
      </c>
      <c r="Z248" s="39">
        <v>0.1875</v>
      </c>
      <c r="AA248" s="53">
        <v>0.05</v>
      </c>
      <c r="AB248" s="82" t="s">
        <v>1388</v>
      </c>
      <c r="AC248" s="54" t="s">
        <v>1258</v>
      </c>
      <c r="AD248" s="50"/>
      <c r="AE248" s="83"/>
      <c r="AF248" s="40" t="s">
        <v>806</v>
      </c>
      <c r="AG248" s="40" t="s">
        <v>402</v>
      </c>
      <c r="AH248" s="87">
        <v>4.0</v>
      </c>
      <c r="AI248" s="39"/>
    </row>
    <row r="249">
      <c r="A249" s="58" t="s">
        <v>1389</v>
      </c>
      <c r="B249" s="59">
        <v>3.0</v>
      </c>
      <c r="C249" s="60">
        <v>0.5520833333333334</v>
      </c>
      <c r="D249" s="61">
        <f t="array" ref="D249">IFERROR(INDIRECT("'renta'!G$"&amp;MATCH(T249,renta!$A:$A,0))*0.975-(G249*INDIRECT("'renta'!G$"&amp;MATCH(F249,renta!$A:$A,0)))/B249-IFERROR((J249*INDIRECT("'renta'!G$"&amp;MATCH(I249,renta!$A:$A,0)))/B249,0),)</f>
        <v>15.01185564</v>
      </c>
      <c r="E249" s="41">
        <f t="shared" si="1"/>
        <v>6.797821423</v>
      </c>
      <c r="F249" s="61" t="s">
        <v>57</v>
      </c>
      <c r="G249" s="62">
        <f t="shared" si="2"/>
        <v>10.868</v>
      </c>
      <c r="H249" s="63" t="s">
        <v>1390</v>
      </c>
      <c r="I249" s="64"/>
      <c r="J249" s="64"/>
      <c r="K249" s="64"/>
      <c r="L249" s="59" t="s">
        <v>1275</v>
      </c>
      <c r="M249" s="65">
        <v>24.69</v>
      </c>
      <c r="N249" s="65">
        <v>30.0</v>
      </c>
      <c r="O249" s="66" t="s">
        <v>30</v>
      </c>
      <c r="P249" s="65">
        <v>15.0</v>
      </c>
      <c r="Q249" s="65">
        <v>42.0</v>
      </c>
      <c r="R249" s="67">
        <f t="array" ref="R249">INDIRECT("'renta'!G$"&amp;MATCH(O249,renta!$A:$A,0))*P249</f>
        <v>555</v>
      </c>
      <c r="S249" s="68">
        <f t="shared" si="20"/>
        <v>1554.0041</v>
      </c>
      <c r="T249" s="69" t="str">
        <f t="shared" si="4"/>
        <v>LAVA</v>
      </c>
      <c r="U249" s="70">
        <f t="shared" si="5"/>
        <v>2.808598159</v>
      </c>
      <c r="V249" s="71">
        <v>24.7</v>
      </c>
      <c r="W249" s="72">
        <f t="shared" si="6"/>
        <v>1.823302305</v>
      </c>
      <c r="X249" s="72">
        <f t="shared" ref="X249:X262" si="21">(W249-W248)/R249*100000</f>
        <v>41.89149866</v>
      </c>
      <c r="Y249" s="71">
        <v>0.0</v>
      </c>
      <c r="Z249" s="60">
        <v>-0.07291666666666667</v>
      </c>
      <c r="AA249" s="85" t="s">
        <v>1391</v>
      </c>
      <c r="AB249" s="74" t="s">
        <v>1392</v>
      </c>
      <c r="AC249" s="75" t="s">
        <v>1393</v>
      </c>
      <c r="AD249" s="70"/>
      <c r="AE249" s="76"/>
      <c r="AF249" s="61" t="s">
        <v>806</v>
      </c>
      <c r="AG249" s="61" t="s">
        <v>1394</v>
      </c>
      <c r="AH249" s="86">
        <v>4.0</v>
      </c>
      <c r="AI249" s="60"/>
    </row>
    <row r="250">
      <c r="A250" s="78" t="s">
        <v>1395</v>
      </c>
      <c r="B250" s="38">
        <v>3.0</v>
      </c>
      <c r="C250" s="39">
        <v>0.4895833333333333</v>
      </c>
      <c r="D250" s="40">
        <f t="array" ref="D250">IFERROR(INDIRECT("'renta'!G$"&amp;MATCH(T250,renta!$A:$A,0))*0.975-(G250*INDIRECT("'renta'!G$"&amp;MATCH(F250,renta!$A:$A,0)))/B250-IFERROR((J250*INDIRECT("'renta'!G$"&amp;MATCH(I250,renta!$A:$A,0)))/B250,0),)</f>
        <v>16.73466447</v>
      </c>
      <c r="E250" s="41">
        <f t="shared" si="1"/>
        <v>8.54536058</v>
      </c>
      <c r="F250" s="40" t="s">
        <v>57</v>
      </c>
      <c r="G250" s="43">
        <f t="shared" si="2"/>
        <v>10.7825</v>
      </c>
      <c r="H250" s="44" t="s">
        <v>1396</v>
      </c>
      <c r="I250" s="79"/>
      <c r="J250" s="79"/>
      <c r="K250" s="79"/>
      <c r="L250" s="38" t="s">
        <v>1282</v>
      </c>
      <c r="M250" s="46">
        <v>24.69</v>
      </c>
      <c r="N250" s="46">
        <v>30.0</v>
      </c>
      <c r="O250" s="42" t="s">
        <v>30</v>
      </c>
      <c r="P250" s="46">
        <v>20.0</v>
      </c>
      <c r="Q250" s="46"/>
      <c r="R250" s="47">
        <f t="array" ref="R250">INDIRECT("'renta'!G$"&amp;MATCH(O250,renta!$A:$A,0))*P250</f>
        <v>740</v>
      </c>
      <c r="S250" s="48">
        <f t="shared" si="20"/>
        <v>2294.0041</v>
      </c>
      <c r="T250" s="49" t="str">
        <f t="shared" si="4"/>
        <v>LAVA</v>
      </c>
      <c r="U250" s="50">
        <f t="shared" si="5"/>
        <v>2.361539402</v>
      </c>
      <c r="V250" s="80">
        <v>24.7</v>
      </c>
      <c r="W250" s="52">
        <f t="shared" si="6"/>
        <v>2.03255034</v>
      </c>
      <c r="X250" s="52">
        <f t="shared" si="21"/>
        <v>28.27676159</v>
      </c>
      <c r="Y250" s="80">
        <v>0.0</v>
      </c>
      <c r="Z250" s="39">
        <v>-0.0625</v>
      </c>
      <c r="AA250" s="81" t="s">
        <v>1397</v>
      </c>
      <c r="AB250" s="82" t="s">
        <v>1398</v>
      </c>
      <c r="AC250" s="54" t="s">
        <v>1399</v>
      </c>
      <c r="AD250" s="50"/>
      <c r="AE250" s="83"/>
      <c r="AF250" s="40" t="s">
        <v>806</v>
      </c>
      <c r="AG250" s="40" t="s">
        <v>1400</v>
      </c>
      <c r="AH250" s="87">
        <v>4.0</v>
      </c>
      <c r="AI250" s="39"/>
    </row>
    <row r="251">
      <c r="A251" s="58" t="s">
        <v>1401</v>
      </c>
      <c r="B251" s="59">
        <v>3.0</v>
      </c>
      <c r="C251" s="60">
        <v>0.4375</v>
      </c>
      <c r="D251" s="61">
        <f t="array" ref="D251">IFERROR(INDIRECT("'renta'!G$"&amp;MATCH(T251,renta!$A:$A,0))*0.975-(G251*INDIRECT("'renta'!G$"&amp;MATCH(F251,renta!$A:$A,0)))/B251-IFERROR((J251*INDIRECT("'renta'!G$"&amp;MATCH(I251,renta!$A:$A,0)))/B251,0),)</f>
        <v>18.4574733</v>
      </c>
      <c r="E251" s="41">
        <f t="shared" si="1"/>
        <v>10.5471276</v>
      </c>
      <c r="F251" s="61" t="s">
        <v>57</v>
      </c>
      <c r="G251" s="62">
        <f t="shared" si="2"/>
        <v>10.697</v>
      </c>
      <c r="H251" s="63" t="s">
        <v>1402</v>
      </c>
      <c r="I251" s="64"/>
      <c r="J251" s="64"/>
      <c r="K251" s="64"/>
      <c r="L251" s="59" t="s">
        <v>1288</v>
      </c>
      <c r="M251" s="65">
        <v>24.69</v>
      </c>
      <c r="N251" s="65">
        <v>30.0</v>
      </c>
      <c r="O251" s="66" t="s">
        <v>30</v>
      </c>
      <c r="P251" s="65">
        <v>26.0</v>
      </c>
      <c r="Q251" s="65"/>
      <c r="R251" s="67">
        <f t="array" ref="R251">INDIRECT("'renta'!G$"&amp;MATCH(O251,renta!$A:$A,0))*P251</f>
        <v>962</v>
      </c>
      <c r="S251" s="68">
        <f t="shared" si="20"/>
        <v>3256.0041</v>
      </c>
      <c r="T251" s="69" t="str">
        <f t="shared" si="4"/>
        <v>LAVA</v>
      </c>
      <c r="U251" s="70">
        <f t="shared" si="5"/>
        <v>2.080838896</v>
      </c>
      <c r="V251" s="71">
        <v>24.7</v>
      </c>
      <c r="W251" s="72">
        <f t="shared" si="6"/>
        <v>2.241798376</v>
      </c>
      <c r="X251" s="72">
        <f t="shared" si="21"/>
        <v>21.75135507</v>
      </c>
      <c r="Y251" s="71">
        <v>0.0</v>
      </c>
      <c r="Z251" s="60">
        <v>-0.052083333333333336</v>
      </c>
      <c r="AA251" s="85" t="s">
        <v>1403</v>
      </c>
      <c r="AB251" s="74" t="s">
        <v>1404</v>
      </c>
      <c r="AC251" s="75" t="s">
        <v>1405</v>
      </c>
      <c r="AD251" s="70"/>
      <c r="AE251" s="76"/>
      <c r="AF251" s="61" t="s">
        <v>806</v>
      </c>
      <c r="AG251" s="61" t="s">
        <v>1406</v>
      </c>
      <c r="AH251" s="86">
        <v>4.0</v>
      </c>
      <c r="AI251" s="60"/>
    </row>
    <row r="252">
      <c r="A252" s="78" t="s">
        <v>1407</v>
      </c>
      <c r="B252" s="38">
        <v>3.0</v>
      </c>
      <c r="C252" s="39">
        <v>0.3958333333333333</v>
      </c>
      <c r="D252" s="40">
        <f t="array" ref="D252">IFERROR(INDIRECT("'renta'!G$"&amp;MATCH(T252,renta!$A:$A,0))*0.975-(G252*INDIRECT("'renta'!G$"&amp;MATCH(F252,renta!$A:$A,0)))/B252-IFERROR((J252*INDIRECT("'renta'!G$"&amp;MATCH(I252,renta!$A:$A,0)))/B252,0),)</f>
        <v>20.18028213</v>
      </c>
      <c r="E252" s="41">
        <f t="shared" si="1"/>
        <v>12.74544134</v>
      </c>
      <c r="F252" s="40" t="s">
        <v>57</v>
      </c>
      <c r="G252" s="43">
        <f t="shared" si="2"/>
        <v>10.6115</v>
      </c>
      <c r="H252" s="44" t="s">
        <v>1408</v>
      </c>
      <c r="I252" s="79">
        <f>222+42+42</f>
        <v>306</v>
      </c>
      <c r="J252" s="79"/>
      <c r="K252" s="79"/>
      <c r="L252" s="38" t="s">
        <v>1294</v>
      </c>
      <c r="M252" s="46">
        <v>24.69</v>
      </c>
      <c r="N252" s="46">
        <v>30.0</v>
      </c>
      <c r="O252" s="42" t="s">
        <v>30</v>
      </c>
      <c r="P252" s="46">
        <v>34.0</v>
      </c>
      <c r="Q252" s="46"/>
      <c r="R252" s="47">
        <f t="array" ref="R252">INDIRECT("'renta'!G$"&amp;MATCH(O252,renta!$A:$A,0))*P252</f>
        <v>1258</v>
      </c>
      <c r="S252" s="48">
        <f t="shared" si="20"/>
        <v>4514.0041</v>
      </c>
      <c r="T252" s="49" t="str">
        <f t="shared" si="4"/>
        <v>LAVA</v>
      </c>
      <c r="U252" s="50">
        <f t="shared" si="5"/>
        <v>1.747467205</v>
      </c>
      <c r="V252" s="80">
        <v>24.7</v>
      </c>
      <c r="W252" s="52">
        <f t="shared" si="6"/>
        <v>2.451046412</v>
      </c>
      <c r="X252" s="52">
        <f t="shared" si="21"/>
        <v>16.63338917</v>
      </c>
      <c r="Y252" s="80">
        <v>0.0</v>
      </c>
      <c r="Z252" s="39">
        <v>-0.041666666666666664</v>
      </c>
      <c r="AA252" s="81" t="s">
        <v>1314</v>
      </c>
      <c r="AB252" s="82" t="s">
        <v>1409</v>
      </c>
      <c r="AC252" s="54" t="s">
        <v>1410</v>
      </c>
      <c r="AD252" s="50"/>
      <c r="AE252" s="83"/>
      <c r="AF252" s="40" t="s">
        <v>806</v>
      </c>
      <c r="AG252" s="40" t="s">
        <v>1411</v>
      </c>
      <c r="AH252" s="87">
        <v>4.0</v>
      </c>
      <c r="AI252" s="39"/>
    </row>
    <row r="253">
      <c r="A253" s="58" t="s">
        <v>1412</v>
      </c>
      <c r="B253" s="59">
        <v>4.0</v>
      </c>
      <c r="C253" s="60">
        <v>0.5208333333333334</v>
      </c>
      <c r="D253" s="61">
        <f t="array" ref="D253">IFERROR(INDIRECT("'renta'!G$"&amp;MATCH(T253,renta!$A:$A,0))*0.975-(G253*INDIRECT("'renta'!G$"&amp;MATCH(F253,renta!$A:$A,0)))/B253-IFERROR((J253*INDIRECT("'renta'!G$"&amp;MATCH(I253,renta!$A:$A,0)))/B253,0),)</f>
        <v>21.66381195</v>
      </c>
      <c r="E253" s="41">
        <f t="shared" si="1"/>
        <v>13.86483965</v>
      </c>
      <c r="F253" s="61" t="s">
        <v>57</v>
      </c>
      <c r="G253" s="62">
        <f t="shared" si="2"/>
        <v>14.0505</v>
      </c>
      <c r="H253" s="63" t="s">
        <v>1413</v>
      </c>
      <c r="I253" s="64"/>
      <c r="J253" s="64"/>
      <c r="K253" s="64"/>
      <c r="L253" s="59" t="s">
        <v>1300</v>
      </c>
      <c r="M253" s="65">
        <v>32.54</v>
      </c>
      <c r="N253" s="65">
        <v>30.0</v>
      </c>
      <c r="O253" s="66" t="s">
        <v>30</v>
      </c>
      <c r="P253" s="65">
        <v>44.0</v>
      </c>
      <c r="Q253" s="65"/>
      <c r="R253" s="67">
        <f t="array" ref="R253">INDIRECT("'renta'!G$"&amp;MATCH(O253,renta!$A:$A,0))*P253</f>
        <v>1628</v>
      </c>
      <c r="S253" s="68">
        <f t="shared" si="20"/>
        <v>6142.0041</v>
      </c>
      <c r="T253" s="69" t="str">
        <f t="shared" si="4"/>
        <v>LAVA</v>
      </c>
      <c r="U253" s="70">
        <f t="shared" si="5"/>
        <v>0.6875910966</v>
      </c>
      <c r="V253" s="71">
        <v>32.6</v>
      </c>
      <c r="W253" s="72">
        <f t="shared" si="6"/>
        <v>2.658136436</v>
      </c>
      <c r="X253" s="72">
        <f t="shared" si="21"/>
        <v>12.72051742</v>
      </c>
      <c r="Y253" s="71">
        <v>1.0</v>
      </c>
      <c r="Z253" s="60">
        <v>0.125</v>
      </c>
      <c r="AA253" s="85" t="s">
        <v>316</v>
      </c>
      <c r="AB253" s="74" t="s">
        <v>1414</v>
      </c>
      <c r="AC253" s="75" t="s">
        <v>1415</v>
      </c>
      <c r="AD253" s="70"/>
      <c r="AE253" s="76"/>
      <c r="AF253" s="61" t="s">
        <v>806</v>
      </c>
      <c r="AG253" s="61" t="s">
        <v>1416</v>
      </c>
      <c r="AH253" s="86">
        <v>4.0</v>
      </c>
      <c r="AI253" s="60"/>
    </row>
    <row r="254">
      <c r="A254" s="78" t="s">
        <v>1417</v>
      </c>
      <c r="B254" s="38">
        <v>4.0</v>
      </c>
      <c r="C254" s="39">
        <v>0.4791666666666667</v>
      </c>
      <c r="D254" s="40">
        <f t="array" ref="D254">IFERROR(INDIRECT("'renta'!G$"&amp;MATCH(T254,renta!$A:$A,0))*0.975-(G254*INDIRECT("'renta'!G$"&amp;MATCH(F254,renta!$A:$A,0)))/B254-IFERROR((J254*INDIRECT("'renta'!G$"&amp;MATCH(I254,renta!$A:$A,0)))/B254,0),)</f>
        <v>23.24305338</v>
      </c>
      <c r="E254" s="41">
        <f t="shared" si="1"/>
        <v>16.16908061</v>
      </c>
      <c r="F254" s="40" t="s">
        <v>57</v>
      </c>
      <c r="G254" s="43">
        <f t="shared" si="2"/>
        <v>13.946</v>
      </c>
      <c r="H254" s="44" t="s">
        <v>1418</v>
      </c>
      <c r="I254" s="79"/>
      <c r="J254" s="79"/>
      <c r="K254" s="79"/>
      <c r="L254" s="38" t="s">
        <v>1307</v>
      </c>
      <c r="M254" s="46">
        <v>32.54</v>
      </c>
      <c r="N254" s="46">
        <v>30.0</v>
      </c>
      <c r="O254" s="42" t="s">
        <v>30</v>
      </c>
      <c r="P254" s="46">
        <v>56.0</v>
      </c>
      <c r="Q254" s="46">
        <v>222.0</v>
      </c>
      <c r="R254" s="47">
        <f t="array" ref="R254">INDIRECT("'renta'!G$"&amp;MATCH(O254,renta!$A:$A,0))*P254</f>
        <v>2072</v>
      </c>
      <c r="S254" s="48">
        <f t="shared" si="20"/>
        <v>8214.0041</v>
      </c>
      <c r="T254" s="49" t="str">
        <f t="shared" si="4"/>
        <v>LAVA</v>
      </c>
      <c r="U254" s="50">
        <f t="shared" si="5"/>
        <v>1.112085406</v>
      </c>
      <c r="V254" s="80">
        <v>32.6</v>
      </c>
      <c r="W254" s="52">
        <f t="shared" si="6"/>
        <v>2.85190839</v>
      </c>
      <c r="X254" s="52">
        <f t="shared" si="21"/>
        <v>9.351928285</v>
      </c>
      <c r="Y254" s="80">
        <v>0.0</v>
      </c>
      <c r="Z254" s="39">
        <v>-0.041666666666666664</v>
      </c>
      <c r="AA254" s="81" t="s">
        <v>1196</v>
      </c>
      <c r="AB254" s="82" t="s">
        <v>1419</v>
      </c>
      <c r="AC254" s="54" t="s">
        <v>1420</v>
      </c>
      <c r="AD254" s="50"/>
      <c r="AE254" s="83"/>
      <c r="AF254" s="40" t="s">
        <v>806</v>
      </c>
      <c r="AG254" s="40" t="s">
        <v>1421</v>
      </c>
      <c r="AH254" s="87">
        <v>4.0</v>
      </c>
      <c r="AI254" s="39"/>
    </row>
    <row r="255">
      <c r="A255" s="58" t="s">
        <v>1422</v>
      </c>
      <c r="B255" s="59">
        <v>4.0</v>
      </c>
      <c r="C255" s="60">
        <v>0.4270833333333333</v>
      </c>
      <c r="D255" s="61">
        <f t="array" ref="D255">IFERROR(INDIRECT("'renta'!G$"&amp;MATCH(T255,renta!$A:$A,0))*0.975-(G255*INDIRECT("'renta'!G$"&amp;MATCH(F255,renta!$A:$A,0)))/B255-IFERROR((J255*INDIRECT("'renta'!G$"&amp;MATCH(I255,renta!$A:$A,0)))/B255,0),)</f>
        <v>24.6787274</v>
      </c>
      <c r="E255" s="41">
        <f t="shared" si="1"/>
        <v>19.26144577</v>
      </c>
      <c r="F255" s="61" t="s">
        <v>57</v>
      </c>
      <c r="G255" s="62">
        <f t="shared" si="2"/>
        <v>13.851</v>
      </c>
      <c r="H255" s="63" t="s">
        <v>1423</v>
      </c>
      <c r="I255" s="64"/>
      <c r="J255" s="64"/>
      <c r="K255" s="64"/>
      <c r="L255" s="59" t="s">
        <v>1313</v>
      </c>
      <c r="M255" s="65">
        <v>32.54</v>
      </c>
      <c r="N255" s="65">
        <v>30.0</v>
      </c>
      <c r="O255" s="66" t="s">
        <v>34</v>
      </c>
      <c r="P255" s="65">
        <v>24.0</v>
      </c>
      <c r="Q255" s="68">
        <f t="shared" ref="Q255:Q263" si="22">SUM(P$255:P255)</f>
        <v>24</v>
      </c>
      <c r="R255" s="67">
        <f t="array" ref="R255">INDIRECT("'renta'!G$"&amp;MATCH(O255,renta!$A:$A,0))*P255</f>
        <v>3184.371672</v>
      </c>
      <c r="S255" s="68">
        <f t="shared" si="20"/>
        <v>11398.37577</v>
      </c>
      <c r="T255" s="69" t="str">
        <f t="shared" si="4"/>
        <v>LAVA</v>
      </c>
      <c r="U255" s="70">
        <f t="shared" si="5"/>
        <v>0.9711068568</v>
      </c>
      <c r="V255" s="71">
        <v>32.6</v>
      </c>
      <c r="W255" s="72">
        <f t="shared" si="6"/>
        <v>3.028064712</v>
      </c>
      <c r="X255" s="72">
        <f t="shared" si="21"/>
        <v>5.531902052</v>
      </c>
      <c r="Y255" s="71">
        <v>0.0</v>
      </c>
      <c r="Z255" s="60">
        <v>-0.052083333333333336</v>
      </c>
      <c r="AA255" s="85" t="s">
        <v>1424</v>
      </c>
      <c r="AB255" s="74" t="s">
        <v>1425</v>
      </c>
      <c r="AC255" s="75" t="s">
        <v>1290</v>
      </c>
      <c r="AD255" s="70"/>
      <c r="AE255" s="76"/>
      <c r="AF255" s="61" t="s">
        <v>806</v>
      </c>
      <c r="AG255" s="61" t="s">
        <v>1426</v>
      </c>
      <c r="AH255" s="86">
        <v>4.0</v>
      </c>
      <c r="AI255" s="60"/>
    </row>
    <row r="256">
      <c r="A256" s="78" t="s">
        <v>1427</v>
      </c>
      <c r="B256" s="38">
        <v>4.0</v>
      </c>
      <c r="C256" s="39">
        <v>0.375</v>
      </c>
      <c r="D256" s="40">
        <f t="array" ref="D256">IFERROR(INDIRECT("'renta'!G$"&amp;MATCH(T256,renta!$A:$A,0))*0.975-(G256*INDIRECT("'renta'!G$"&amp;MATCH(F256,renta!$A:$A,0)))/B256-IFERROR((J256*INDIRECT("'renta'!G$"&amp;MATCH(I256,renta!$A:$A,0)))/B256,0),)</f>
        <v>25.97083402</v>
      </c>
      <c r="E256" s="41">
        <f t="shared" si="1"/>
        <v>23.0851858</v>
      </c>
      <c r="F256" s="40" t="s">
        <v>57</v>
      </c>
      <c r="G256" s="43">
        <f t="shared" si="2"/>
        <v>13.7655</v>
      </c>
      <c r="H256" s="44" t="s">
        <v>1428</v>
      </c>
      <c r="I256" s="79"/>
      <c r="J256" s="79"/>
      <c r="K256" s="79"/>
      <c r="L256" s="38" t="s">
        <v>1320</v>
      </c>
      <c r="M256" s="46">
        <v>32.54</v>
      </c>
      <c r="N256" s="46">
        <v>30.0</v>
      </c>
      <c r="O256" s="42" t="s">
        <v>34</v>
      </c>
      <c r="P256" s="46">
        <v>30.0</v>
      </c>
      <c r="Q256" s="48">
        <f t="shared" si="22"/>
        <v>54</v>
      </c>
      <c r="R256" s="47">
        <f t="array" ref="R256">INDIRECT("'renta'!G$"&amp;MATCH(O256,renta!$A:$A,0))*P256</f>
        <v>3980.46459</v>
      </c>
      <c r="S256" s="48">
        <f t="shared" si="20"/>
        <v>15378.84036</v>
      </c>
      <c r="T256" s="49" t="str">
        <f t="shared" si="4"/>
        <v>LAVA</v>
      </c>
      <c r="U256" s="50">
        <f t="shared" si="5"/>
        <v>0.9606265635</v>
      </c>
      <c r="V256" s="80">
        <v>32.6</v>
      </c>
      <c r="W256" s="52">
        <f t="shared" si="6"/>
        <v>3.186605401</v>
      </c>
      <c r="X256" s="52">
        <f t="shared" si="21"/>
        <v>3.982969477</v>
      </c>
      <c r="Y256" s="80">
        <v>0.0</v>
      </c>
      <c r="Z256" s="39">
        <v>-0.052083333333333336</v>
      </c>
      <c r="AA256" s="81" t="s">
        <v>1429</v>
      </c>
      <c r="AB256" s="82" t="s">
        <v>1430</v>
      </c>
      <c r="AC256" s="54" t="s">
        <v>1431</v>
      </c>
      <c r="AD256" s="50"/>
      <c r="AE256" s="83"/>
      <c r="AF256" s="40" t="s">
        <v>806</v>
      </c>
      <c r="AG256" s="40" t="s">
        <v>1432</v>
      </c>
      <c r="AH256" s="87">
        <v>4.0</v>
      </c>
      <c r="AI256" s="39"/>
    </row>
    <row r="257">
      <c r="A257" s="58" t="s">
        <v>1433</v>
      </c>
      <c r="B257" s="59">
        <v>4.0</v>
      </c>
      <c r="C257" s="60">
        <v>0.3333333333333333</v>
      </c>
      <c r="D257" s="61">
        <f t="array" ref="D257">IFERROR(INDIRECT("'renta'!G$"&amp;MATCH(T257,renta!$A:$A,0))*0.975-(G257*INDIRECT("'renta'!G$"&amp;MATCH(F257,renta!$A:$A,0)))/B257-IFERROR((J257*INDIRECT("'renta'!G$"&amp;MATCH(I257,renta!$A:$A,0)))/B257,0),)</f>
        <v>27.26294064</v>
      </c>
      <c r="E257" s="41">
        <f t="shared" si="1"/>
        <v>27.26294064</v>
      </c>
      <c r="F257" s="61" t="s">
        <v>57</v>
      </c>
      <c r="G257" s="62">
        <f t="shared" si="2"/>
        <v>13.68</v>
      </c>
      <c r="H257" s="63" t="s">
        <v>1434</v>
      </c>
      <c r="I257" s="64"/>
      <c r="J257" s="64"/>
      <c r="K257" s="64"/>
      <c r="L257" s="59" t="s">
        <v>1327</v>
      </c>
      <c r="M257" s="65">
        <v>32.54</v>
      </c>
      <c r="N257" s="65">
        <v>30.0</v>
      </c>
      <c r="O257" s="66" t="s">
        <v>34</v>
      </c>
      <c r="P257" s="65">
        <v>38.0</v>
      </c>
      <c r="Q257" s="68">
        <f t="shared" si="22"/>
        <v>92</v>
      </c>
      <c r="R257" s="67">
        <f t="array" ref="R257">INDIRECT("'renta'!G$"&amp;MATCH(O257,renta!$A:$A,0))*P257</f>
        <v>5041.921814</v>
      </c>
      <c r="S257" s="68">
        <f t="shared" si="20"/>
        <v>20420.76218</v>
      </c>
      <c r="T257" s="69" t="str">
        <f t="shared" si="4"/>
        <v>LAVA</v>
      </c>
      <c r="U257" s="70">
        <f t="shared" si="5"/>
        <v>0.8286036553</v>
      </c>
      <c r="V257" s="71">
        <v>32.6</v>
      </c>
      <c r="W257" s="72">
        <f t="shared" si="6"/>
        <v>3.345146091</v>
      </c>
      <c r="X257" s="72">
        <f t="shared" si="21"/>
        <v>3.144449587</v>
      </c>
      <c r="Y257" s="71">
        <v>0.0</v>
      </c>
      <c r="Z257" s="60">
        <v>-0.041666666666666664</v>
      </c>
      <c r="AA257" s="85" t="s">
        <v>1276</v>
      </c>
      <c r="AB257" s="74" t="s">
        <v>1435</v>
      </c>
      <c r="AC257" s="75" t="s">
        <v>1436</v>
      </c>
      <c r="AD257" s="70"/>
      <c r="AE257" s="76"/>
      <c r="AF257" s="61" t="s">
        <v>806</v>
      </c>
      <c r="AG257" s="61" t="s">
        <v>1437</v>
      </c>
      <c r="AH257" s="86">
        <v>4.0</v>
      </c>
      <c r="AI257" s="60"/>
    </row>
    <row r="258">
      <c r="A258" s="78" t="s">
        <v>1438</v>
      </c>
      <c r="B258" s="38">
        <v>6.0</v>
      </c>
      <c r="C258" s="39">
        <v>0.4791666666666667</v>
      </c>
      <c r="D258" s="40">
        <f t="array" ref="D258">IFERROR(INDIRECT("'renta'!G$"&amp;MATCH(T258,renta!$A:$A,0))*0.975-(G258*INDIRECT("'renta'!G$"&amp;MATCH(F258,renta!$A:$A,0)))/B258-IFERROR((J258*INDIRECT("'renta'!G$"&amp;MATCH(I258,renta!$A:$A,0)))/B258,0),)</f>
        <v>28.60290306</v>
      </c>
      <c r="E258" s="41">
        <f t="shared" si="1"/>
        <v>29.84650754</v>
      </c>
      <c r="F258" s="40" t="s">
        <v>57</v>
      </c>
      <c r="G258" s="43">
        <f t="shared" si="2"/>
        <v>20.387</v>
      </c>
      <c r="H258" s="44" t="s">
        <v>1439</v>
      </c>
      <c r="I258" s="79"/>
      <c r="J258" s="79"/>
      <c r="K258" s="79"/>
      <c r="L258" s="38" t="s">
        <v>1334</v>
      </c>
      <c r="M258" s="46">
        <v>47.01</v>
      </c>
      <c r="N258" s="46">
        <v>30.0</v>
      </c>
      <c r="O258" s="42" t="s">
        <v>34</v>
      </c>
      <c r="P258" s="46">
        <v>48.0</v>
      </c>
      <c r="Q258" s="48">
        <f t="shared" si="22"/>
        <v>140</v>
      </c>
      <c r="R258" s="47">
        <f t="array" ref="R258">INDIRECT("'renta'!G$"&amp;MATCH(O258,renta!$A:$A,0))*P258</f>
        <v>6368.743345</v>
      </c>
      <c r="S258" s="48">
        <f t="shared" si="20"/>
        <v>26789.50552</v>
      </c>
      <c r="T258" s="49" t="str">
        <f t="shared" si="4"/>
        <v>LAVA</v>
      </c>
      <c r="U258" s="109">
        <f t="shared" si="5"/>
        <v>0.4056635294</v>
      </c>
      <c r="V258" s="80">
        <v>47.1</v>
      </c>
      <c r="W258" s="52">
        <f t="shared" si="6"/>
        <v>3.643681919</v>
      </c>
      <c r="X258" s="52">
        <f t="shared" si="21"/>
        <v>4.687515445</v>
      </c>
      <c r="Y258" s="80">
        <v>2.0</v>
      </c>
      <c r="Z258" s="39">
        <v>0.14583333333333334</v>
      </c>
      <c r="AA258" s="81" t="s">
        <v>1301</v>
      </c>
      <c r="AB258" s="82" t="s">
        <v>1440</v>
      </c>
      <c r="AC258" s="54" t="s">
        <v>1441</v>
      </c>
      <c r="AD258" s="50"/>
      <c r="AE258" s="83"/>
      <c r="AF258" s="40" t="s">
        <v>806</v>
      </c>
      <c r="AG258" s="40" t="s">
        <v>1442</v>
      </c>
      <c r="AH258" s="87">
        <v>4.0</v>
      </c>
      <c r="AI258" s="39"/>
    </row>
    <row r="259">
      <c r="A259" s="58" t="s">
        <v>1443</v>
      </c>
      <c r="B259" s="59">
        <v>6.0</v>
      </c>
      <c r="C259" s="60">
        <v>0.4270833333333333</v>
      </c>
      <c r="D259" s="61">
        <f t="array" ref="D259">IFERROR(INDIRECT("'renta'!G$"&amp;MATCH(T259,renta!$A:$A,0))*0.975-(G259*INDIRECT("'renta'!G$"&amp;MATCH(F259,renta!$A:$A,0)))/B259-IFERROR((J259*INDIRECT("'renta'!G$"&amp;MATCH(I259,renta!$A:$A,0)))/B259,0),)</f>
        <v>29.75144228</v>
      </c>
      <c r="E259" s="41">
        <f t="shared" si="1"/>
        <v>34.83095682</v>
      </c>
      <c r="F259" s="61" t="s">
        <v>57</v>
      </c>
      <c r="G259" s="62">
        <f t="shared" si="2"/>
        <v>20.273</v>
      </c>
      <c r="H259" s="63" t="s">
        <v>1444</v>
      </c>
      <c r="I259" s="64"/>
      <c r="J259" s="64"/>
      <c r="K259" s="64"/>
      <c r="L259" s="59" t="s">
        <v>1341</v>
      </c>
      <c r="M259" s="65">
        <v>47.01</v>
      </c>
      <c r="N259" s="65">
        <v>30.0</v>
      </c>
      <c r="O259" s="66" t="s">
        <v>34</v>
      </c>
      <c r="P259" s="65">
        <v>61.0</v>
      </c>
      <c r="Q259" s="68">
        <f t="shared" si="22"/>
        <v>201</v>
      </c>
      <c r="R259" s="67">
        <f t="array" ref="R259">INDIRECT("'renta'!G$"&amp;MATCH(O259,renta!$A:$A,0))*P259</f>
        <v>8093.611334</v>
      </c>
      <c r="S259" s="68">
        <f t="shared" si="20"/>
        <v>34883.11686</v>
      </c>
      <c r="T259" s="69" t="str">
        <f t="shared" si="4"/>
        <v>LAVA</v>
      </c>
      <c r="U259" s="70">
        <f t="shared" si="5"/>
        <v>0.6158498435</v>
      </c>
      <c r="V259" s="71">
        <v>47.1</v>
      </c>
      <c r="W259" s="72">
        <f t="shared" si="6"/>
        <v>3.789992647</v>
      </c>
      <c r="X259" s="72">
        <f t="shared" si="21"/>
        <v>1.807731091</v>
      </c>
      <c r="Y259" s="71">
        <v>0.0</v>
      </c>
      <c r="Z259" s="60">
        <v>-0.052083333333333336</v>
      </c>
      <c r="AA259" s="85" t="s">
        <v>1424</v>
      </c>
      <c r="AB259" s="74" t="s">
        <v>1445</v>
      </c>
      <c r="AC259" s="75" t="s">
        <v>1446</v>
      </c>
      <c r="AD259" s="70"/>
      <c r="AE259" s="76"/>
      <c r="AF259" s="61" t="s">
        <v>806</v>
      </c>
      <c r="AG259" s="61" t="s">
        <v>1447</v>
      </c>
      <c r="AH259" s="86">
        <v>4.0</v>
      </c>
      <c r="AI259" s="60"/>
    </row>
    <row r="260">
      <c r="A260" s="78" t="s">
        <v>1448</v>
      </c>
      <c r="B260" s="38">
        <v>6.0</v>
      </c>
      <c r="C260" s="39">
        <v>0.3958333333333333</v>
      </c>
      <c r="D260" s="40">
        <f t="array" ref="D260">IFERROR(INDIRECT("'renta'!G$"&amp;MATCH(T260,renta!$A:$A,0))*0.975-(G260*INDIRECT("'renta'!G$"&amp;MATCH(F260,renta!$A:$A,0)))/B260-IFERROR((J260*INDIRECT("'renta'!G$"&amp;MATCH(I260,renta!$A:$A,0)))/B260,0),)</f>
        <v>30.9956931</v>
      </c>
      <c r="E260" s="41">
        <f t="shared" si="1"/>
        <v>39.15245444</v>
      </c>
      <c r="F260" s="40" t="s">
        <v>57</v>
      </c>
      <c r="G260" s="43">
        <f t="shared" si="2"/>
        <v>20.1495</v>
      </c>
      <c r="H260" s="44" t="s">
        <v>1449</v>
      </c>
      <c r="I260" s="79"/>
      <c r="J260" s="79"/>
      <c r="K260" s="79"/>
      <c r="L260" s="38" t="s">
        <v>1347</v>
      </c>
      <c r="M260" s="46">
        <v>47.01</v>
      </c>
      <c r="N260" s="46">
        <v>30.0</v>
      </c>
      <c r="O260" s="42" t="s">
        <v>34</v>
      </c>
      <c r="P260" s="46">
        <v>76.0</v>
      </c>
      <c r="Q260" s="48">
        <f t="shared" si="22"/>
        <v>277</v>
      </c>
      <c r="R260" s="47">
        <f t="array" ref="R260">INDIRECT("'renta'!G$"&amp;MATCH(O260,renta!$A:$A,0))*P260</f>
        <v>10083.84363</v>
      </c>
      <c r="S260" s="48">
        <f t="shared" si="20"/>
        <v>44966.96048</v>
      </c>
      <c r="T260" s="49" t="str">
        <f t="shared" si="4"/>
        <v>LAVA</v>
      </c>
      <c r="U260" s="50">
        <f t="shared" si="5"/>
        <v>0.4285565887</v>
      </c>
      <c r="V260" s="80">
        <v>47.1</v>
      </c>
      <c r="W260" s="52">
        <f t="shared" si="6"/>
        <v>3.948495937</v>
      </c>
      <c r="X260" s="52">
        <f t="shared" si="21"/>
        <v>1.571853898</v>
      </c>
      <c r="Y260" s="80">
        <v>0.0</v>
      </c>
      <c r="Z260" s="39">
        <v>-0.03125</v>
      </c>
      <c r="AA260" s="81" t="s">
        <v>1450</v>
      </c>
      <c r="AB260" s="82" t="s">
        <v>1451</v>
      </c>
      <c r="AC260" s="54" t="s">
        <v>1452</v>
      </c>
      <c r="AD260" s="50"/>
      <c r="AE260" s="83"/>
      <c r="AF260" s="40" t="s">
        <v>806</v>
      </c>
      <c r="AG260" s="40" t="s">
        <v>1453</v>
      </c>
      <c r="AH260" s="87">
        <v>4.0</v>
      </c>
      <c r="AI260" s="39"/>
    </row>
    <row r="261">
      <c r="A261" s="58" t="s">
        <v>1454</v>
      </c>
      <c r="B261" s="59">
        <v>6.0</v>
      </c>
      <c r="C261" s="60">
        <v>0.3645833333333333</v>
      </c>
      <c r="D261" s="61">
        <f t="array" ref="D261">IFERROR(INDIRECT("'renta'!G$"&amp;MATCH(T261,renta!$A:$A,0))*0.975-(G261*INDIRECT("'renta'!G$"&amp;MATCH(F261,renta!$A:$A,0)))/B261-IFERROR((J261*INDIRECT("'renta'!G$"&amp;MATCH(I261,renta!$A:$A,0)))/B261,0),)</f>
        <v>32.04852072</v>
      </c>
      <c r="E261" s="41">
        <f t="shared" si="1"/>
        <v>43.95225699</v>
      </c>
      <c r="F261" s="61" t="s">
        <v>57</v>
      </c>
      <c r="G261" s="62">
        <f t="shared" si="2"/>
        <v>20.045</v>
      </c>
      <c r="H261" s="63" t="s">
        <v>1455</v>
      </c>
      <c r="I261" s="64"/>
      <c r="J261" s="64"/>
      <c r="K261" s="64"/>
      <c r="L261" s="59" t="s">
        <v>1354</v>
      </c>
      <c r="M261" s="65">
        <v>47.01</v>
      </c>
      <c r="N261" s="65">
        <v>30.0</v>
      </c>
      <c r="O261" s="66" t="s">
        <v>34</v>
      </c>
      <c r="P261" s="65">
        <v>96.0</v>
      </c>
      <c r="Q261" s="68">
        <f t="shared" si="22"/>
        <v>373</v>
      </c>
      <c r="R261" s="67">
        <f t="array" ref="R261">INDIRECT("'renta'!G$"&amp;MATCH(O261,renta!$A:$A,0))*P261</f>
        <v>12737.48669</v>
      </c>
      <c r="S261" s="68">
        <f t="shared" si="20"/>
        <v>57704.44717</v>
      </c>
      <c r="T261" s="69" t="str">
        <f t="shared" si="4"/>
        <v>LAVA</v>
      </c>
      <c r="U261" s="70">
        <f t="shared" si="5"/>
        <v>0.3768249309</v>
      </c>
      <c r="V261" s="71">
        <v>47.1</v>
      </c>
      <c r="W261" s="72">
        <f t="shared" si="6"/>
        <v>4.082614104</v>
      </c>
      <c r="X261" s="72">
        <f t="shared" si="21"/>
        <v>1.052940592</v>
      </c>
      <c r="Y261" s="71">
        <v>0.0</v>
      </c>
      <c r="Z261" s="60">
        <v>-0.03125</v>
      </c>
      <c r="AA261" s="85" t="s">
        <v>1321</v>
      </c>
      <c r="AB261" s="74" t="s">
        <v>1456</v>
      </c>
      <c r="AC261" s="75" t="s">
        <v>1457</v>
      </c>
      <c r="AD261" s="70"/>
      <c r="AE261" s="76"/>
      <c r="AF261" s="61" t="s">
        <v>806</v>
      </c>
      <c r="AG261" s="61" t="s">
        <v>1458</v>
      </c>
      <c r="AH261" s="86">
        <v>4.0</v>
      </c>
      <c r="AI261" s="60"/>
    </row>
    <row r="262">
      <c r="A262" s="78" t="s">
        <v>63</v>
      </c>
      <c r="B262" s="38">
        <v>6.0</v>
      </c>
      <c r="C262" s="39">
        <v>0.3333333333333333</v>
      </c>
      <c r="D262" s="40">
        <f t="array" ref="D262">IFERROR(INDIRECT("'renta'!G$"&amp;MATCH(T262,renta!$A:$A,0))*0.975-(G262*INDIRECT("'renta'!G$"&amp;MATCH(F262,renta!$A:$A,0)))/B262-IFERROR((J262*INDIRECT("'renta'!G$"&amp;MATCH(I262,renta!$A:$A,0)))/B262,0),)</f>
        <v>33.19705994</v>
      </c>
      <c r="E262" s="41">
        <f t="shared" si="1"/>
        <v>49.79558991</v>
      </c>
      <c r="F262" s="40" t="s">
        <v>57</v>
      </c>
      <c r="G262" s="43">
        <f t="shared" si="2"/>
        <v>19.931</v>
      </c>
      <c r="H262" s="44" t="s">
        <v>1459</v>
      </c>
      <c r="I262" s="79"/>
      <c r="J262" s="79"/>
      <c r="K262" s="79"/>
      <c r="L262" s="38" t="s">
        <v>1361</v>
      </c>
      <c r="M262" s="46">
        <v>47.01</v>
      </c>
      <c r="N262" s="46">
        <v>30.0</v>
      </c>
      <c r="O262" s="42" t="s">
        <v>34</v>
      </c>
      <c r="P262" s="46">
        <v>120.0</v>
      </c>
      <c r="Q262" s="48">
        <f t="shared" si="22"/>
        <v>493</v>
      </c>
      <c r="R262" s="47">
        <f t="array" ref="R262">INDIRECT("'renta'!G$"&amp;MATCH(O262,renta!$A:$A,0))*P262</f>
        <v>15921.85836</v>
      </c>
      <c r="S262" s="48">
        <f t="shared" si="20"/>
        <v>73626.30553</v>
      </c>
      <c r="T262" s="49" t="str">
        <f t="shared" si="4"/>
        <v>LAVA</v>
      </c>
      <c r="U262" s="50">
        <f t="shared" si="5"/>
        <v>0.3670006847</v>
      </c>
      <c r="V262" s="80">
        <v>47.1</v>
      </c>
      <c r="W262" s="52">
        <f t="shared" si="6"/>
        <v>4.228924833</v>
      </c>
      <c r="X262" s="52">
        <f t="shared" si="21"/>
        <v>0.9189299714</v>
      </c>
      <c r="Y262" s="80">
        <v>0.0</v>
      </c>
      <c r="Z262" s="39">
        <v>-0.03125</v>
      </c>
      <c r="AA262" s="81" t="s">
        <v>1328</v>
      </c>
      <c r="AB262" s="82" t="s">
        <v>1460</v>
      </c>
      <c r="AC262" s="54" t="s">
        <v>1461</v>
      </c>
      <c r="AD262" s="50"/>
      <c r="AE262" s="83"/>
      <c r="AF262" s="40" t="s">
        <v>806</v>
      </c>
      <c r="AG262" s="40" t="s">
        <v>1462</v>
      </c>
      <c r="AH262" s="87">
        <v>4.0</v>
      </c>
      <c r="AI262" s="39"/>
    </row>
    <row r="263">
      <c r="A263" s="58" t="s">
        <v>1463</v>
      </c>
      <c r="B263" s="59">
        <v>8.0</v>
      </c>
      <c r="C263" s="60">
        <v>0.3333333333333333</v>
      </c>
      <c r="D263" s="61">
        <f t="array" ref="D263">IFERROR(INDIRECT("'renta'!G$"&amp;MATCH(T263,renta!$A:$A,0))*0.975-(G263*INDIRECT("'renta'!G$"&amp;MATCH(F263,renta!$A:$A,0)))/B263-IFERROR((J263*INDIRECT("'renta'!G$"&amp;MATCH(I263,renta!$A:$A,0)))/B263,0),)</f>
        <v>34.22595965</v>
      </c>
      <c r="E263" s="41">
        <f t="shared" si="1"/>
        <v>68.45191931</v>
      </c>
      <c r="F263" s="61" t="s">
        <v>57</v>
      </c>
      <c r="G263" s="62">
        <f t="shared" si="2"/>
        <v>26.4385</v>
      </c>
      <c r="H263" s="63" t="s">
        <v>1464</v>
      </c>
      <c r="I263" s="64"/>
      <c r="J263" s="64"/>
      <c r="K263" s="64"/>
      <c r="L263" s="59" t="s">
        <v>1366</v>
      </c>
      <c r="M263" s="65">
        <v>56.68</v>
      </c>
      <c r="N263" s="65">
        <v>30.0</v>
      </c>
      <c r="O263" s="66" t="s">
        <v>34</v>
      </c>
      <c r="P263" s="65">
        <v>150.0</v>
      </c>
      <c r="Q263" s="68">
        <f t="shared" si="22"/>
        <v>643</v>
      </c>
      <c r="R263" s="67">
        <f t="array" ref="R263">INDIRECT("'renta'!G$"&amp;MATCH(O263,renta!$A:$A,0))*P263</f>
        <v>19902.32295</v>
      </c>
      <c r="S263" s="68">
        <f t="shared" si="20"/>
        <v>93528.62849</v>
      </c>
      <c r="T263" s="69" t="str">
        <f t="shared" si="4"/>
        <v>LAVA</v>
      </c>
      <c r="U263" s="70">
        <f t="shared" si="5"/>
        <v>0.9373945668</v>
      </c>
      <c r="V263" s="71"/>
      <c r="W263" s="72" t="str">
        <f t="shared" si="6"/>
        <v/>
      </c>
      <c r="X263" s="72"/>
      <c r="Y263" s="71">
        <v>2.0</v>
      </c>
      <c r="Z263" s="60">
        <v>0.0</v>
      </c>
      <c r="AA263" s="85" t="s">
        <v>1465</v>
      </c>
      <c r="AB263" s="74" t="s">
        <v>1466</v>
      </c>
      <c r="AC263" s="75" t="s">
        <v>1467</v>
      </c>
      <c r="AD263" s="70"/>
      <c r="AE263" s="76"/>
      <c r="AF263" s="61" t="s">
        <v>806</v>
      </c>
      <c r="AG263" s="61" t="s">
        <v>1468</v>
      </c>
      <c r="AH263" s="86">
        <v>4.0</v>
      </c>
      <c r="AI263" s="60"/>
    </row>
    <row r="264">
      <c r="B264" s="89"/>
      <c r="C264" s="90"/>
      <c r="D264" s="40" t="str">
        <f t="array" ref="D264">IFERROR(INDIRECT("'renta'!G$"&amp;MATCH(T264,renta!$A:$A,0))*0.975-(G264*INDIRECT("'renta'!G$"&amp;MATCH(F264,renta!$A:$A,0)))/B264-IFERROR((J264*INDIRECT("'renta'!G$"&amp;MATCH(I264,renta!$A:$A,0)))/B264,0),)</f>
        <v/>
      </c>
      <c r="E264" s="41">
        <f t="shared" si="1"/>
        <v>0</v>
      </c>
      <c r="F264" s="88">
        <f>MATCH(F265,renta!$A:$A,0)</f>
        <v>6</v>
      </c>
      <c r="G264" s="43">
        <f t="shared" si="2"/>
        <v>0</v>
      </c>
      <c r="H264" s="91"/>
      <c r="I264" s="88">
        <f>MATCH(I265,renta!$A:$A,0)</f>
        <v>11</v>
      </c>
      <c r="J264" s="79"/>
      <c r="K264" s="79"/>
      <c r="L264" s="92"/>
      <c r="M264" s="93"/>
      <c r="N264" s="93"/>
      <c r="O264" s="45"/>
      <c r="P264" s="93"/>
      <c r="Q264" s="93"/>
      <c r="R264" s="47"/>
      <c r="S264" s="48"/>
      <c r="T264" s="88">
        <f>MATCH(T265,renta!$A:$A,0)</f>
        <v>22</v>
      </c>
      <c r="U264" s="50" t="str">
        <f t="shared" si="5"/>
        <v>#DIV/0!</v>
      </c>
      <c r="V264" s="94"/>
      <c r="W264" s="52" t="str">
        <f t="shared" si="6"/>
        <v/>
      </c>
      <c r="X264" s="52"/>
      <c r="Y264" s="94"/>
      <c r="Z264" s="90"/>
      <c r="AA264" s="95"/>
      <c r="AB264" s="50"/>
      <c r="AC264" s="83"/>
      <c r="AD264" s="50"/>
      <c r="AE264" s="83"/>
      <c r="AF264" s="79"/>
      <c r="AG264" s="79"/>
      <c r="AH264" s="84"/>
      <c r="AI264" s="90"/>
    </row>
    <row r="265">
      <c r="A265" s="58" t="s">
        <v>1469</v>
      </c>
      <c r="B265" s="59">
        <v>1.0</v>
      </c>
      <c r="C265" s="60">
        <v>0.4166666666666667</v>
      </c>
      <c r="D265" s="61">
        <f t="array" ref="D265">IFERROR(INDIRECT("'renta'!G$"&amp;MATCH(T265,renta!$A:$A,0))*0.975-(G265*INDIRECT("'renta'!G$"&amp;MATCH(F265,renta!$A:$A,0)))/B265-IFERROR((J265*INDIRECT("'renta'!G$"&amp;MATCH(I265,renta!$A:$A,0)))/B265,0),)</f>
        <v>-8.166825414</v>
      </c>
      <c r="E265" s="41">
        <f t="shared" si="1"/>
        <v>-2.270377465</v>
      </c>
      <c r="F265" s="61" t="s">
        <v>21</v>
      </c>
      <c r="G265" s="62">
        <f t="shared" si="2"/>
        <v>285</v>
      </c>
      <c r="H265" s="63" t="s">
        <v>1470</v>
      </c>
      <c r="I265" s="61" t="s">
        <v>37</v>
      </c>
      <c r="J265" s="61">
        <f t="shared" ref="J265:J521" si="23">0.95*K265</f>
        <v>2.85</v>
      </c>
      <c r="K265" s="61">
        <v>3.0</v>
      </c>
      <c r="L265" s="59" t="s">
        <v>137</v>
      </c>
      <c r="M265" s="65">
        <v>11.12</v>
      </c>
      <c r="N265" s="65">
        <v>40.0</v>
      </c>
      <c r="O265" s="66" t="s">
        <v>12</v>
      </c>
      <c r="P265" s="65">
        <v>1.0</v>
      </c>
      <c r="Q265" s="65"/>
      <c r="R265" s="67">
        <f t="array" ref="R265">INDIRECT("'renta'!G$"&amp;MATCH(O265,renta!$A:$A,0))*P265</f>
        <v>0.0041</v>
      </c>
      <c r="S265" s="68">
        <f t="shared" ref="S265:S284" si="24">SUM(R$265:R265)</f>
        <v>0.0041</v>
      </c>
      <c r="T265" s="69" t="str">
        <f t="shared" ref="T265:T521" si="25">IFERROR(LEFT(A265, FIND("_", A265) - 1),"")</f>
        <v>CERAMICS</v>
      </c>
      <c r="U265" s="70">
        <f t="shared" si="5"/>
        <v>-553750.6013</v>
      </c>
      <c r="V265" s="71"/>
      <c r="W265" s="72" t="str">
        <f t="shared" si="6"/>
        <v/>
      </c>
      <c r="X265" s="72"/>
      <c r="Y265" s="71">
        <v>0.0</v>
      </c>
      <c r="Z265" s="60">
        <v>0.0</v>
      </c>
      <c r="AA265" s="73">
        <v>0.0</v>
      </c>
      <c r="AB265" s="74" t="s">
        <v>805</v>
      </c>
      <c r="AC265" s="75" t="s">
        <v>590</v>
      </c>
      <c r="AD265" s="74" t="s">
        <v>1471</v>
      </c>
      <c r="AE265" s="75" t="s">
        <v>1246</v>
      </c>
      <c r="AF265" s="61" t="s">
        <v>806</v>
      </c>
      <c r="AG265" s="61" t="s">
        <v>1472</v>
      </c>
      <c r="AH265" s="86">
        <v>4.0</v>
      </c>
      <c r="AI265" s="59">
        <v>0.39</v>
      </c>
    </row>
    <row r="266">
      <c r="A266" s="78" t="s">
        <v>1473</v>
      </c>
      <c r="B266" s="38">
        <v>2.0</v>
      </c>
      <c r="C266" s="39">
        <v>0.6666666666666666</v>
      </c>
      <c r="D266" s="40">
        <f t="array" ref="D266">IFERROR(INDIRECT("'renta'!G$"&amp;MATCH(T266,renta!$A:$A,0))*0.975-(G266*INDIRECT("'renta'!G$"&amp;MATCH(F266,renta!$A:$A,0)))/B266-IFERROR((J266*INDIRECT("'renta'!G$"&amp;MATCH(I266,renta!$A:$A,0)))/B266,0),)</f>
        <v>-7.29204716</v>
      </c>
      <c r="E266" s="41">
        <f t="shared" si="1"/>
        <v>-2.533986388</v>
      </c>
      <c r="F266" s="40" t="s">
        <v>21</v>
      </c>
      <c r="G266" s="43">
        <f t="shared" si="2"/>
        <v>564.0815</v>
      </c>
      <c r="H266" s="44" t="s">
        <v>1474</v>
      </c>
      <c r="I266" s="40" t="s">
        <v>37</v>
      </c>
      <c r="J266" s="40">
        <f t="shared" si="23"/>
        <v>5.643</v>
      </c>
      <c r="K266" s="40">
        <v>5.94</v>
      </c>
      <c r="L266" s="38" t="s">
        <v>1250</v>
      </c>
      <c r="M266" s="46">
        <v>22.18</v>
      </c>
      <c r="N266" s="46">
        <v>40.0</v>
      </c>
      <c r="O266" s="42" t="s">
        <v>30</v>
      </c>
      <c r="P266" s="46">
        <v>3.0</v>
      </c>
      <c r="Q266" s="46"/>
      <c r="R266" s="47">
        <f t="array" ref="R266">INDIRECT("'renta'!G$"&amp;MATCH(O266,renta!$A:$A,0))*P266</f>
        <v>111</v>
      </c>
      <c r="S266" s="48">
        <f t="shared" si="24"/>
        <v>111.0041</v>
      </c>
      <c r="T266" s="49" t="str">
        <f t="shared" si="25"/>
        <v>CERAMICS</v>
      </c>
      <c r="U266" s="50">
        <f t="shared" si="5"/>
        <v>-2.374855162</v>
      </c>
      <c r="V266" s="80"/>
      <c r="W266" s="52" t="str">
        <f t="shared" si="6"/>
        <v/>
      </c>
      <c r="X266" s="52"/>
      <c r="Y266" s="80">
        <v>1.0</v>
      </c>
      <c r="Z266" s="39">
        <v>0.25</v>
      </c>
      <c r="AA266" s="53">
        <v>0.25</v>
      </c>
      <c r="AB266" s="82" t="s">
        <v>1475</v>
      </c>
      <c r="AC266" s="54" t="s">
        <v>653</v>
      </c>
      <c r="AD266" s="82" t="s">
        <v>1476</v>
      </c>
      <c r="AE266" s="54" t="s">
        <v>1246</v>
      </c>
      <c r="AF266" s="40" t="s">
        <v>806</v>
      </c>
      <c r="AG266" s="40" t="s">
        <v>1477</v>
      </c>
      <c r="AH266" s="87">
        <v>4.0</v>
      </c>
      <c r="AI266" s="38">
        <v>0.39</v>
      </c>
    </row>
    <row r="267">
      <c r="A267" s="58" t="s">
        <v>1478</v>
      </c>
      <c r="B267" s="59">
        <v>2.0</v>
      </c>
      <c r="C267" s="60">
        <v>0.5833333333333334</v>
      </c>
      <c r="D267" s="61">
        <f t="array" ref="D267">IFERROR(INDIRECT("'renta'!G$"&amp;MATCH(T267,renta!$A:$A,0))*0.975-(G267*INDIRECT("'renta'!G$"&amp;MATCH(F267,renta!$A:$A,0)))/B267-IFERROR((J267*INDIRECT("'renta'!G$"&amp;MATCH(I267,renta!$A:$A,0)))/B267,0),)</f>
        <v>-6.437218906</v>
      </c>
      <c r="E267" s="41">
        <f t="shared" si="1"/>
        <v>-2.556495508</v>
      </c>
      <c r="F267" s="61" t="s">
        <v>21</v>
      </c>
      <c r="G267" s="62">
        <f t="shared" si="2"/>
        <v>558.4955</v>
      </c>
      <c r="H267" s="63" t="s">
        <v>1479</v>
      </c>
      <c r="I267" s="61" t="s">
        <v>37</v>
      </c>
      <c r="J267" s="61">
        <f t="shared" si="23"/>
        <v>5.586</v>
      </c>
      <c r="K267" s="61">
        <v>5.88</v>
      </c>
      <c r="L267" s="59" t="s">
        <v>1255</v>
      </c>
      <c r="M267" s="65">
        <v>22.18</v>
      </c>
      <c r="N267" s="65">
        <v>40.0</v>
      </c>
      <c r="O267" s="66" t="s">
        <v>30</v>
      </c>
      <c r="P267" s="65">
        <v>5.0</v>
      </c>
      <c r="Q267" s="65"/>
      <c r="R267" s="67">
        <f t="array" ref="R267">INDIRECT("'renta'!G$"&amp;MATCH(O267,renta!$A:$A,0))*P267</f>
        <v>185</v>
      </c>
      <c r="S267" s="68">
        <f t="shared" si="24"/>
        <v>296.0041</v>
      </c>
      <c r="T267" s="69" t="str">
        <f t="shared" si="25"/>
        <v>CERAMICS</v>
      </c>
      <c r="U267" s="70">
        <f t="shared" si="5"/>
        <v>-0.1216709202</v>
      </c>
      <c r="V267" s="71"/>
      <c r="W267" s="72" t="str">
        <f t="shared" si="6"/>
        <v/>
      </c>
      <c r="X267" s="72"/>
      <c r="Y267" s="71">
        <v>0.0</v>
      </c>
      <c r="Z267" s="60">
        <v>-0.08333333333333333</v>
      </c>
      <c r="AA267" s="85" t="s">
        <v>416</v>
      </c>
      <c r="AB267" s="74" t="s">
        <v>1480</v>
      </c>
      <c r="AC267" s="75" t="s">
        <v>660</v>
      </c>
      <c r="AD267" s="110">
        <v>46244.0</v>
      </c>
      <c r="AE267" s="75" t="s">
        <v>1258</v>
      </c>
      <c r="AF267" s="61" t="s">
        <v>806</v>
      </c>
      <c r="AG267" s="61" t="s">
        <v>1481</v>
      </c>
      <c r="AH267" s="86">
        <v>4.0</v>
      </c>
      <c r="AI267" s="59">
        <v>0.39</v>
      </c>
    </row>
    <row r="268">
      <c r="A268" s="78" t="s">
        <v>1482</v>
      </c>
      <c r="B268" s="38">
        <v>2.0</v>
      </c>
      <c r="C268" s="39">
        <v>0.5208333333333334</v>
      </c>
      <c r="D268" s="40">
        <f t="array" ref="D268">IFERROR(INDIRECT("'renta'!G$"&amp;MATCH(T268,renta!$A:$A,0))*0.975-(G268*INDIRECT("'renta'!G$"&amp;MATCH(F268,renta!$A:$A,0)))/B268-IFERROR((J268*INDIRECT("'renta'!G$"&amp;MATCH(I268,renta!$A:$A,0)))/B268,0),)</f>
        <v>-5.598920652</v>
      </c>
      <c r="E268" s="41">
        <f t="shared" si="1"/>
        <v>-2.490399906</v>
      </c>
      <c r="F268" s="40" t="s">
        <v>21</v>
      </c>
      <c r="G268" s="43">
        <f t="shared" si="2"/>
        <v>553.185</v>
      </c>
      <c r="H268" s="44" t="s">
        <v>1483</v>
      </c>
      <c r="I268" s="40" t="s">
        <v>37</v>
      </c>
      <c r="J268" s="40">
        <f t="shared" si="23"/>
        <v>5.529</v>
      </c>
      <c r="K268" s="40">
        <v>5.82</v>
      </c>
      <c r="L268" s="38" t="s">
        <v>1262</v>
      </c>
      <c r="M268" s="46">
        <v>22.18</v>
      </c>
      <c r="N268" s="46">
        <v>40.0</v>
      </c>
      <c r="O268" s="42" t="s">
        <v>30</v>
      </c>
      <c r="P268" s="46">
        <v>8.0</v>
      </c>
      <c r="Q268" s="46"/>
      <c r="R268" s="47">
        <f t="array" ref="R268">INDIRECT("'renta'!G$"&amp;MATCH(O268,renta!$A:$A,0))*P268</f>
        <v>296</v>
      </c>
      <c r="S268" s="48">
        <f t="shared" si="24"/>
        <v>592.0041</v>
      </c>
      <c r="T268" s="49" t="str">
        <f t="shared" si="25"/>
        <v>CERAMICS</v>
      </c>
      <c r="U268" s="50">
        <f t="shared" si="5"/>
        <v>0.2232959542</v>
      </c>
      <c r="V268" s="80"/>
      <c r="W268" s="52" t="str">
        <f t="shared" si="6"/>
        <v/>
      </c>
      <c r="X268" s="52"/>
      <c r="Y268" s="80">
        <v>0.0</v>
      </c>
      <c r="Z268" s="39">
        <v>-0.0625</v>
      </c>
      <c r="AA268" s="53">
        <v>0.12</v>
      </c>
      <c r="AB268" s="82" t="s">
        <v>1484</v>
      </c>
      <c r="AC268" s="54" t="s">
        <v>673</v>
      </c>
      <c r="AD268" s="82" t="s">
        <v>1485</v>
      </c>
      <c r="AE268" s="54" t="s">
        <v>1265</v>
      </c>
      <c r="AF268" s="40" t="s">
        <v>806</v>
      </c>
      <c r="AG268" s="40" t="s">
        <v>1486</v>
      </c>
      <c r="AH268" s="87">
        <v>4.0</v>
      </c>
      <c r="AI268" s="38">
        <v>0.39</v>
      </c>
    </row>
    <row r="269">
      <c r="A269" s="58" t="s">
        <v>1487</v>
      </c>
      <c r="B269" s="59">
        <v>3.0</v>
      </c>
      <c r="C269" s="60">
        <v>0.7291666666666666</v>
      </c>
      <c r="D269" s="61">
        <f t="array" ref="D269">IFERROR(INDIRECT("'renta'!G$"&amp;MATCH(T269,renta!$A:$A,0))*0.975-(G269*INDIRECT("'renta'!G$"&amp;MATCH(F269,renta!$A:$A,0)))/B269-IFERROR((J269*INDIRECT("'renta'!G$"&amp;MATCH(I269,renta!$A:$A,0)))/B269,0),)</f>
        <v>-4.897574232</v>
      </c>
      <c r="E269" s="41">
        <f t="shared" si="1"/>
        <v>-2.334043948</v>
      </c>
      <c r="F269" s="61" t="s">
        <v>21</v>
      </c>
      <c r="G269" s="62">
        <f t="shared" si="2"/>
        <v>822.3485</v>
      </c>
      <c r="H269" s="63" t="s">
        <v>1488</v>
      </c>
      <c r="I269" s="61" t="s">
        <v>37</v>
      </c>
      <c r="J269" s="61">
        <f t="shared" si="23"/>
        <v>8.227</v>
      </c>
      <c r="K269" s="61">
        <v>8.66</v>
      </c>
      <c r="L269" s="59" t="s">
        <v>1269</v>
      </c>
      <c r="M269" s="65">
        <v>32.94</v>
      </c>
      <c r="N269" s="65">
        <v>40.0</v>
      </c>
      <c r="O269" s="66" t="s">
        <v>34</v>
      </c>
      <c r="P269" s="65">
        <v>4.0</v>
      </c>
      <c r="Q269" s="65"/>
      <c r="R269" s="67">
        <f t="array" ref="R269">INDIRECT("'renta'!G$"&amp;MATCH(O269,renta!$A:$A,0))*P269</f>
        <v>530.728612</v>
      </c>
      <c r="S269" s="68">
        <f t="shared" si="24"/>
        <v>1122.732712</v>
      </c>
      <c r="T269" s="69" t="str">
        <f t="shared" si="25"/>
        <v>CERAMICS</v>
      </c>
      <c r="U269" s="70">
        <f t="shared" si="5"/>
        <v>0.294606234</v>
      </c>
      <c r="V269" s="71">
        <v>33.0</v>
      </c>
      <c r="W269" s="72">
        <f t="shared" si="6"/>
        <v>-0.4452340211</v>
      </c>
      <c r="X269" s="72"/>
      <c r="Y269" s="71">
        <v>1.0</v>
      </c>
      <c r="Z269" s="60">
        <v>0.20833333333333334</v>
      </c>
      <c r="AA269" s="85" t="s">
        <v>1007</v>
      </c>
      <c r="AB269" s="74" t="s">
        <v>1489</v>
      </c>
      <c r="AC269" s="75" t="s">
        <v>686</v>
      </c>
      <c r="AD269" s="74" t="s">
        <v>1490</v>
      </c>
      <c r="AE269" s="75" t="s">
        <v>1491</v>
      </c>
      <c r="AF269" s="61" t="s">
        <v>806</v>
      </c>
      <c r="AG269" s="61" t="s">
        <v>1492</v>
      </c>
      <c r="AH269" s="86">
        <v>4.0</v>
      </c>
      <c r="AI269" s="59">
        <v>0.39</v>
      </c>
    </row>
    <row r="270">
      <c r="A270" s="78" t="s">
        <v>1493</v>
      </c>
      <c r="B270" s="38">
        <v>3.0</v>
      </c>
      <c r="C270" s="39">
        <v>0.6458333333333334</v>
      </c>
      <c r="D270" s="40">
        <f t="array" ref="D270">IFERROR(INDIRECT("'renta'!G$"&amp;MATCH(T270,renta!$A:$A,0))*0.975-(G270*INDIRECT("'renta'!G$"&amp;MATCH(F270,renta!$A:$A,0)))/B270-IFERROR((J270*INDIRECT("'renta'!G$"&amp;MATCH(I270,renta!$A:$A,0)))/B270,0),)</f>
        <v>-4.150266895</v>
      </c>
      <c r="E270" s="41">
        <f t="shared" si="1"/>
        <v>-2.233111349</v>
      </c>
      <c r="F270" s="40" t="s">
        <v>21</v>
      </c>
      <c r="G270" s="43">
        <f t="shared" si="2"/>
        <v>815.214</v>
      </c>
      <c r="H270" s="44" t="s">
        <v>1494</v>
      </c>
      <c r="I270" s="40" t="s">
        <v>37</v>
      </c>
      <c r="J270" s="40">
        <f t="shared" si="23"/>
        <v>8.151</v>
      </c>
      <c r="K270" s="40">
        <v>8.58</v>
      </c>
      <c r="L270" s="38" t="s">
        <v>1275</v>
      </c>
      <c r="M270" s="46">
        <v>32.94</v>
      </c>
      <c r="N270" s="46">
        <v>40.0</v>
      </c>
      <c r="O270" s="42" t="s">
        <v>34</v>
      </c>
      <c r="P270" s="46">
        <v>5.0</v>
      </c>
      <c r="Q270" s="46"/>
      <c r="R270" s="47">
        <f t="array" ref="R270">INDIRECT("'renta'!G$"&amp;MATCH(O270,renta!$A:$A,0))*P270</f>
        <v>663.4107651</v>
      </c>
      <c r="S270" s="48">
        <f t="shared" si="24"/>
        <v>1786.143477</v>
      </c>
      <c r="T270" s="49" t="str">
        <f t="shared" si="25"/>
        <v>CERAMICS</v>
      </c>
      <c r="U270" s="50">
        <f t="shared" si="5"/>
        <v>0.1521419382</v>
      </c>
      <c r="V270" s="80">
        <v>33.0</v>
      </c>
      <c r="W270" s="52">
        <f t="shared" si="6"/>
        <v>-0.3772969905</v>
      </c>
      <c r="X270" s="52"/>
      <c r="Y270" s="80">
        <v>0.0</v>
      </c>
      <c r="Z270" s="39">
        <v>-0.08333333333333333</v>
      </c>
      <c r="AA270" s="81" t="s">
        <v>1495</v>
      </c>
      <c r="AB270" s="82" t="s">
        <v>1496</v>
      </c>
      <c r="AC270" s="54" t="s">
        <v>693</v>
      </c>
      <c r="AD270" s="82" t="s">
        <v>1497</v>
      </c>
      <c r="AE270" s="54" t="s">
        <v>1278</v>
      </c>
      <c r="AF270" s="40" t="s">
        <v>806</v>
      </c>
      <c r="AG270" s="40" t="s">
        <v>1498</v>
      </c>
      <c r="AH270" s="87">
        <v>4.0</v>
      </c>
      <c r="AI270" s="38">
        <v>0.39</v>
      </c>
    </row>
    <row r="271">
      <c r="A271" s="58" t="s">
        <v>1499</v>
      </c>
      <c r="B271" s="59">
        <v>3.0</v>
      </c>
      <c r="C271" s="60">
        <v>0.5729166666666666</v>
      </c>
      <c r="D271" s="61">
        <f t="array" ref="D271">IFERROR(INDIRECT("'renta'!G$"&amp;MATCH(T271,renta!$A:$A,0))*0.975-(G271*INDIRECT("'renta'!G$"&amp;MATCH(F271,renta!$A:$A,0)))/B271-IFERROR((J271*INDIRECT("'renta'!G$"&amp;MATCH(I271,renta!$A:$A,0)))/B271,0),)</f>
        <v>-3.477800475</v>
      </c>
      <c r="E271" s="41">
        <f t="shared" si="1"/>
        <v>-2.10944407</v>
      </c>
      <c r="F271" s="61" t="s">
        <v>21</v>
      </c>
      <c r="G271" s="62">
        <f t="shared" si="2"/>
        <v>808.507</v>
      </c>
      <c r="H271" s="63" t="s">
        <v>1500</v>
      </c>
      <c r="I271" s="61" t="s">
        <v>37</v>
      </c>
      <c r="J271" s="61">
        <f t="shared" si="23"/>
        <v>8.0845</v>
      </c>
      <c r="K271" s="61">
        <v>8.51</v>
      </c>
      <c r="L271" s="59" t="s">
        <v>1282</v>
      </c>
      <c r="M271" s="65">
        <v>32.94</v>
      </c>
      <c r="N271" s="65">
        <v>40.0</v>
      </c>
      <c r="O271" s="66" t="s">
        <v>34</v>
      </c>
      <c r="P271" s="65">
        <v>7.0</v>
      </c>
      <c r="Q271" s="65"/>
      <c r="R271" s="67">
        <f t="array" ref="R271">INDIRECT("'renta'!G$"&amp;MATCH(O271,renta!$A:$A,0))*P271</f>
        <v>928.7750711</v>
      </c>
      <c r="S271" s="68">
        <f t="shared" si="24"/>
        <v>2714.918548</v>
      </c>
      <c r="T271" s="69" t="str">
        <f t="shared" si="25"/>
        <v>CERAMICS</v>
      </c>
      <c r="U271" s="70">
        <f t="shared" si="5"/>
        <v>0.1331509453</v>
      </c>
      <c r="V271" s="71">
        <v>33.0</v>
      </c>
      <c r="W271" s="72">
        <f t="shared" si="6"/>
        <v>-0.3161636796</v>
      </c>
      <c r="X271" s="72"/>
      <c r="Y271" s="71">
        <v>0.0</v>
      </c>
      <c r="Z271" s="60">
        <v>-0.07291666666666667</v>
      </c>
      <c r="AA271" s="85" t="s">
        <v>1501</v>
      </c>
      <c r="AB271" s="74" t="s">
        <v>1502</v>
      </c>
      <c r="AC271" s="75" t="s">
        <v>706</v>
      </c>
      <c r="AD271" s="74" t="s">
        <v>1503</v>
      </c>
      <c r="AE271" s="75" t="s">
        <v>1284</v>
      </c>
      <c r="AF271" s="61" t="s">
        <v>806</v>
      </c>
      <c r="AG271" s="61" t="s">
        <v>1504</v>
      </c>
      <c r="AH271" s="86">
        <v>4.0</v>
      </c>
      <c r="AI271" s="59">
        <v>0.39</v>
      </c>
    </row>
    <row r="272">
      <c r="A272" s="78" t="s">
        <v>1505</v>
      </c>
      <c r="B272" s="38">
        <v>3.0</v>
      </c>
      <c r="C272" s="39">
        <v>0.5104166666666666</v>
      </c>
      <c r="D272" s="40">
        <f t="array" ref="D272">IFERROR(INDIRECT("'renta'!G$"&amp;MATCH(T272,renta!$A:$A,0))*0.975-(G272*INDIRECT("'renta'!G$"&amp;MATCH(F272,renta!$A:$A,0)))/B272-IFERROR((J272*INDIRECT("'renta'!G$"&amp;MATCH(I272,renta!$A:$A,0)))/B272,0),)</f>
        <v>-2.819014055</v>
      </c>
      <c r="E272" s="41">
        <f t="shared" si="1"/>
        <v>-1.919230794</v>
      </c>
      <c r="F272" s="40" t="s">
        <v>21</v>
      </c>
      <c r="G272" s="43">
        <f t="shared" si="2"/>
        <v>802.142</v>
      </c>
      <c r="H272" s="44" t="s">
        <v>1506</v>
      </c>
      <c r="I272" s="40" t="s">
        <v>37</v>
      </c>
      <c r="J272" s="40">
        <f t="shared" si="23"/>
        <v>8.018</v>
      </c>
      <c r="K272" s="40">
        <v>8.44</v>
      </c>
      <c r="L272" s="38" t="s">
        <v>1288</v>
      </c>
      <c r="M272" s="46">
        <v>32.94</v>
      </c>
      <c r="N272" s="46">
        <v>40.0</v>
      </c>
      <c r="O272" s="42" t="s">
        <v>34</v>
      </c>
      <c r="P272" s="46">
        <v>9.0</v>
      </c>
      <c r="Q272" s="46"/>
      <c r="R272" s="47">
        <f t="array" ref="R272">INDIRECT("'renta'!G$"&amp;MATCH(O272,renta!$A:$A,0))*P272</f>
        <v>1194.139377</v>
      </c>
      <c r="S272" s="48">
        <f t="shared" si="24"/>
        <v>3909.057925</v>
      </c>
      <c r="T272" s="49" t="str">
        <f t="shared" si="25"/>
        <v>CERAMICS</v>
      </c>
      <c r="U272" s="50">
        <f t="shared" si="5"/>
        <v>0.1592890077</v>
      </c>
      <c r="V272" s="80">
        <v>33.0</v>
      </c>
      <c r="W272" s="52">
        <f t="shared" si="6"/>
        <v>-0.256274005</v>
      </c>
      <c r="X272" s="52"/>
      <c r="Y272" s="80">
        <v>0.0</v>
      </c>
      <c r="Z272" s="39">
        <v>-0.0625</v>
      </c>
      <c r="AA272" s="81" t="s">
        <v>1507</v>
      </c>
      <c r="AB272" s="82" t="s">
        <v>1508</v>
      </c>
      <c r="AC272" s="54" t="s">
        <v>713</v>
      </c>
      <c r="AD272" s="82" t="s">
        <v>1509</v>
      </c>
      <c r="AE272" s="54" t="s">
        <v>1290</v>
      </c>
      <c r="AF272" s="40" t="s">
        <v>806</v>
      </c>
      <c r="AG272" s="40" t="s">
        <v>1510</v>
      </c>
      <c r="AH272" s="87">
        <v>4.0</v>
      </c>
      <c r="AI272" s="38">
        <v>0.39</v>
      </c>
    </row>
    <row r="273">
      <c r="A273" s="58" t="s">
        <v>1511</v>
      </c>
      <c r="B273" s="59">
        <v>3.0</v>
      </c>
      <c r="C273" s="60">
        <v>0.4583333333333333</v>
      </c>
      <c r="D273" s="61">
        <f t="array" ref="D273">IFERROR(INDIRECT("'renta'!G$"&amp;MATCH(T273,renta!$A:$A,0))*0.975-(G273*INDIRECT("'renta'!G$"&amp;MATCH(F273,renta!$A:$A,0)))/B273-IFERROR((J273*INDIRECT("'renta'!G$"&amp;MATCH(I273,renta!$A:$A,0)))/B273,0),)</f>
        <v>-2.227468552</v>
      </c>
      <c r="E273" s="41">
        <f t="shared" si="1"/>
        <v>-1.688826157</v>
      </c>
      <c r="F273" s="61" t="s">
        <v>21</v>
      </c>
      <c r="G273" s="62">
        <f t="shared" si="2"/>
        <v>796.0145</v>
      </c>
      <c r="H273" s="63" t="s">
        <v>1512</v>
      </c>
      <c r="I273" s="61" t="s">
        <v>37</v>
      </c>
      <c r="J273" s="61">
        <f t="shared" si="23"/>
        <v>7.961</v>
      </c>
      <c r="K273" s="61">
        <v>8.38</v>
      </c>
      <c r="L273" s="59" t="s">
        <v>1294</v>
      </c>
      <c r="M273" s="65">
        <v>32.94</v>
      </c>
      <c r="N273" s="65">
        <v>40.0</v>
      </c>
      <c r="O273" s="66" t="s">
        <v>34</v>
      </c>
      <c r="P273" s="65">
        <v>11.0</v>
      </c>
      <c r="Q273" s="65"/>
      <c r="R273" s="67">
        <f t="array" ref="R273">INDIRECT("'renta'!G$"&amp;MATCH(O273,renta!$A:$A,0))*P273</f>
        <v>1459.503683</v>
      </c>
      <c r="S273" s="68">
        <f t="shared" si="24"/>
        <v>5368.561608</v>
      </c>
      <c r="T273" s="69" t="str">
        <f t="shared" si="25"/>
        <v>CERAMICS</v>
      </c>
      <c r="U273" s="70">
        <f t="shared" si="5"/>
        <v>0.15786506</v>
      </c>
      <c r="V273" s="71">
        <v>33.0</v>
      </c>
      <c r="W273" s="72">
        <f t="shared" si="6"/>
        <v>-0.2024971411</v>
      </c>
      <c r="X273" s="72"/>
      <c r="Y273" s="71">
        <v>0.0</v>
      </c>
      <c r="Z273" s="60">
        <v>-0.052083333333333336</v>
      </c>
      <c r="AA273" s="85" t="s">
        <v>1513</v>
      </c>
      <c r="AB273" s="74" t="s">
        <v>1514</v>
      </c>
      <c r="AC273" s="75" t="s">
        <v>719</v>
      </c>
      <c r="AD273" s="74" t="s">
        <v>1515</v>
      </c>
      <c r="AE273" s="75" t="s">
        <v>1296</v>
      </c>
      <c r="AF273" s="61" t="s">
        <v>806</v>
      </c>
      <c r="AG273" s="61" t="s">
        <v>1516</v>
      </c>
      <c r="AH273" s="86">
        <v>4.0</v>
      </c>
      <c r="AI273" s="59">
        <v>0.39</v>
      </c>
    </row>
    <row r="274">
      <c r="A274" s="78" t="s">
        <v>76</v>
      </c>
      <c r="B274" s="38">
        <v>4.0</v>
      </c>
      <c r="C274" s="39">
        <v>0.6041666666666666</v>
      </c>
      <c r="D274" s="40">
        <f t="array" ref="D274">IFERROR(INDIRECT("'renta'!G$"&amp;MATCH(T274,renta!$A:$A,0))*0.975-(G274*INDIRECT("'renta'!G$"&amp;MATCH(F274,renta!$A:$A,0)))/B274-IFERROR((J274*INDIRECT("'renta'!G$"&amp;MATCH(I274,renta!$A:$A,0)))/B274,0),)</f>
        <v>-1.63421782</v>
      </c>
      <c r="E274" s="41">
        <f t="shared" si="1"/>
        <v>-1.253276011</v>
      </c>
      <c r="F274" s="40" t="s">
        <v>21</v>
      </c>
      <c r="G274" s="43">
        <f t="shared" si="2"/>
        <v>1053.607</v>
      </c>
      <c r="H274" s="44" t="s">
        <v>1517</v>
      </c>
      <c r="I274" s="40" t="s">
        <v>37</v>
      </c>
      <c r="J274" s="40">
        <f t="shared" si="23"/>
        <v>10.5355</v>
      </c>
      <c r="K274" s="38">
        <v>11.09</v>
      </c>
      <c r="L274" s="38" t="s">
        <v>1300</v>
      </c>
      <c r="M274" s="46">
        <v>43.6</v>
      </c>
      <c r="N274" s="46">
        <v>40.0</v>
      </c>
      <c r="O274" s="42" t="s">
        <v>75</v>
      </c>
      <c r="P274" s="46">
        <v>66.0</v>
      </c>
      <c r="Q274" s="46"/>
      <c r="R274" s="47">
        <f t="array" ref="R274">INDIRECT("'renta'!G$"&amp;MATCH(O274,renta!$A:$A,0))*P274</f>
        <v>5280</v>
      </c>
      <c r="S274" s="48">
        <f t="shared" si="24"/>
        <v>10648.56161</v>
      </c>
      <c r="T274" s="49" t="str">
        <f t="shared" si="25"/>
        <v>CERAMICS</v>
      </c>
      <c r="U274" s="50">
        <f t="shared" si="5"/>
        <v>0.08249055792</v>
      </c>
      <c r="V274" s="80">
        <v>43.6</v>
      </c>
      <c r="W274" s="52">
        <f t="shared" si="6"/>
        <v>-0.1499282404</v>
      </c>
      <c r="X274" s="52"/>
      <c r="Y274" s="80">
        <v>1.0</v>
      </c>
      <c r="Z274" s="39">
        <v>0.14583333333333334</v>
      </c>
      <c r="AA274" s="81" t="s">
        <v>1518</v>
      </c>
      <c r="AB274" s="82" t="s">
        <v>1519</v>
      </c>
      <c r="AC274" s="54" t="s">
        <v>732</v>
      </c>
      <c r="AD274" s="82" t="s">
        <v>1520</v>
      </c>
      <c r="AE274" s="54" t="s">
        <v>1521</v>
      </c>
      <c r="AF274" s="40" t="s">
        <v>806</v>
      </c>
      <c r="AG274" s="40" t="s">
        <v>1522</v>
      </c>
      <c r="AH274" s="87">
        <v>4.0</v>
      </c>
      <c r="AI274" s="38">
        <v>0.39</v>
      </c>
    </row>
    <row r="275">
      <c r="A275" s="58" t="s">
        <v>1523</v>
      </c>
      <c r="B275" s="59">
        <v>4.0</v>
      </c>
      <c r="C275" s="60">
        <v>0.5416666666666666</v>
      </c>
      <c r="D275" s="61">
        <f t="array" ref="D275">IFERROR(INDIRECT("'renta'!G$"&amp;MATCH(T275,renta!$A:$A,0))*0.975-(G275*INDIRECT("'renta'!G$"&amp;MATCH(F275,renta!$A:$A,0)))/B275-IFERROR((J275*INDIRECT("'renta'!G$"&amp;MATCH(I275,renta!$A:$A,0)))/B275,0),)</f>
        <v>-1.064332318</v>
      </c>
      <c r="E275" s="41">
        <f t="shared" si="1"/>
        <v>-0.9104134902</v>
      </c>
      <c r="F275" s="61" t="s">
        <v>21</v>
      </c>
      <c r="G275" s="62">
        <f t="shared" si="2"/>
        <v>1046.159</v>
      </c>
      <c r="H275" s="63" t="s">
        <v>1524</v>
      </c>
      <c r="I275" s="61" t="s">
        <v>37</v>
      </c>
      <c r="J275" s="61">
        <f t="shared" si="23"/>
        <v>10.4595</v>
      </c>
      <c r="K275" s="59">
        <v>11.01</v>
      </c>
      <c r="L275" s="59" t="s">
        <v>1307</v>
      </c>
      <c r="M275" s="65">
        <v>43.6</v>
      </c>
      <c r="N275" s="65">
        <v>40.0</v>
      </c>
      <c r="O275" s="66" t="s">
        <v>75</v>
      </c>
      <c r="P275" s="65">
        <v>84.0</v>
      </c>
      <c r="Q275" s="65"/>
      <c r="R275" s="67">
        <f t="array" ref="R275">INDIRECT("'renta'!G$"&amp;MATCH(O275,renta!$A:$A,0))*P275</f>
        <v>6720</v>
      </c>
      <c r="S275" s="68">
        <f t="shared" si="24"/>
        <v>17368.56161</v>
      </c>
      <c r="T275" s="69" t="str">
        <f t="shared" si="25"/>
        <v>CERAMICS</v>
      </c>
      <c r="U275" s="70">
        <f t="shared" si="5"/>
        <v>0.05102120849</v>
      </c>
      <c r="V275" s="71">
        <v>43.6</v>
      </c>
      <c r="W275" s="72">
        <f t="shared" si="6"/>
        <v>-0.09764516676</v>
      </c>
      <c r="X275" s="72"/>
      <c r="Y275" s="71">
        <v>0.0</v>
      </c>
      <c r="Z275" s="60">
        <v>-0.0625</v>
      </c>
      <c r="AA275" s="85" t="s">
        <v>1525</v>
      </c>
      <c r="AB275" s="74" t="s">
        <v>1526</v>
      </c>
      <c r="AC275" s="75" t="s">
        <v>745</v>
      </c>
      <c r="AD275" s="74" t="s">
        <v>1527</v>
      </c>
      <c r="AE275" s="75" t="s">
        <v>1310</v>
      </c>
      <c r="AF275" s="61" t="s">
        <v>806</v>
      </c>
      <c r="AG275" s="61" t="s">
        <v>1528</v>
      </c>
      <c r="AH275" s="86">
        <v>4.0</v>
      </c>
      <c r="AI275" s="59">
        <v>0.39</v>
      </c>
    </row>
    <row r="276">
      <c r="A276" s="78" t="s">
        <v>1529</v>
      </c>
      <c r="B276" s="38">
        <v>4.0</v>
      </c>
      <c r="C276" s="39">
        <v>0.4895833333333333</v>
      </c>
      <c r="D276" s="40">
        <f t="array" ref="D276">IFERROR(INDIRECT("'renta'!G$"&amp;MATCH(T276,renta!$A:$A,0))*0.975-(G276*INDIRECT("'renta'!G$"&amp;MATCH(F276,renta!$A:$A,0)))/B276-IFERROR((J276*INDIRECT("'renta'!G$"&amp;MATCH(I276,renta!$A:$A,0)))/B276,0),)</f>
        <v>-0.5494375028</v>
      </c>
      <c r="E276" s="41">
        <f t="shared" si="1"/>
        <v>-0.5199783005</v>
      </c>
      <c r="F276" s="40" t="s">
        <v>21</v>
      </c>
      <c r="G276" s="43">
        <f t="shared" si="2"/>
        <v>1039.1005</v>
      </c>
      <c r="H276" s="44" t="s">
        <v>1530</v>
      </c>
      <c r="I276" s="40" t="s">
        <v>37</v>
      </c>
      <c r="J276" s="40">
        <f t="shared" si="23"/>
        <v>10.393</v>
      </c>
      <c r="K276" s="40">
        <v>10.94</v>
      </c>
      <c r="L276" s="38" t="s">
        <v>1313</v>
      </c>
      <c r="M276" s="46">
        <v>43.6</v>
      </c>
      <c r="N276" s="46">
        <v>40.0</v>
      </c>
      <c r="O276" s="42" t="s">
        <v>75</v>
      </c>
      <c r="P276" s="46">
        <v>107.0</v>
      </c>
      <c r="Q276" s="46"/>
      <c r="R276" s="47">
        <f t="array" ref="R276">INDIRECT("'renta'!G$"&amp;MATCH(O276,renta!$A:$A,0))*P276</f>
        <v>8560</v>
      </c>
      <c r="S276" s="48">
        <f t="shared" si="24"/>
        <v>25928.56161</v>
      </c>
      <c r="T276" s="49" t="str">
        <f t="shared" si="25"/>
        <v>CERAMICS</v>
      </c>
      <c r="U276" s="50">
        <f t="shared" si="5"/>
        <v>0.04561158758</v>
      </c>
      <c r="V276" s="80">
        <v>43.6</v>
      </c>
      <c r="W276" s="52">
        <f t="shared" si="6"/>
        <v>-0.05040711034</v>
      </c>
      <c r="X276" s="52"/>
      <c r="Y276" s="80">
        <v>0.0</v>
      </c>
      <c r="Z276" s="39">
        <v>-0.052083333333333336</v>
      </c>
      <c r="AA276" s="81" t="s">
        <v>1531</v>
      </c>
      <c r="AB276" s="82" t="s">
        <v>1532</v>
      </c>
      <c r="AC276" s="54" t="s">
        <v>1533</v>
      </c>
      <c r="AD276" s="82" t="s">
        <v>1534</v>
      </c>
      <c r="AE276" s="54" t="s">
        <v>1316</v>
      </c>
      <c r="AF276" s="40" t="s">
        <v>806</v>
      </c>
      <c r="AG276" s="40" t="s">
        <v>1535</v>
      </c>
      <c r="AH276" s="87">
        <v>4.0</v>
      </c>
      <c r="AI276" s="38">
        <v>0.39</v>
      </c>
    </row>
    <row r="277">
      <c r="A277" s="58" t="s">
        <v>1536</v>
      </c>
      <c r="B277" s="59">
        <v>4.0</v>
      </c>
      <c r="C277" s="60">
        <v>0.4479166666666667</v>
      </c>
      <c r="D277" s="61">
        <f t="array" ref="D277">IFERROR(INDIRECT("'renta'!G$"&amp;MATCH(T277,renta!$A:$A,0))*0.975-(G277*INDIRECT("'renta'!G$"&amp;MATCH(F277,renta!$A:$A,0)))/B277-IFERROR((J277*INDIRECT("'renta'!G$"&amp;MATCH(I277,renta!$A:$A,0)))/B277,0),)</f>
        <v>-0.04024268784</v>
      </c>
      <c r="E277" s="41">
        <f t="shared" si="1"/>
        <v>-0.041627785</v>
      </c>
      <c r="F277" s="61" t="s">
        <v>21</v>
      </c>
      <c r="G277" s="62">
        <f t="shared" si="2"/>
        <v>1032.232</v>
      </c>
      <c r="H277" s="63" t="s">
        <v>1537</v>
      </c>
      <c r="I277" s="61" t="s">
        <v>37</v>
      </c>
      <c r="J277" s="61">
        <f t="shared" si="23"/>
        <v>10.3265</v>
      </c>
      <c r="K277" s="61">
        <v>10.87</v>
      </c>
      <c r="L277" s="59" t="s">
        <v>1320</v>
      </c>
      <c r="M277" s="65">
        <v>43.6</v>
      </c>
      <c r="N277" s="65">
        <v>40.0</v>
      </c>
      <c r="O277" s="66" t="s">
        <v>78</v>
      </c>
      <c r="P277" s="65">
        <v>45.0</v>
      </c>
      <c r="Q277" s="65"/>
      <c r="R277" s="67">
        <f t="array" ref="R277">INDIRECT("'renta'!G$"&amp;MATCH(O277,renta!$A:$A,0))*P277</f>
        <v>13842.99837</v>
      </c>
      <c r="S277" s="68">
        <f t="shared" si="24"/>
        <v>39771.55998</v>
      </c>
      <c r="T277" s="69" t="str">
        <f t="shared" si="25"/>
        <v>CERAMICS</v>
      </c>
      <c r="U277" s="70">
        <f t="shared" si="5"/>
        <v>0.03455541225</v>
      </c>
      <c r="V277" s="71">
        <v>43.6</v>
      </c>
      <c r="W277" s="72">
        <f t="shared" si="6"/>
        <v>-0.00369198971</v>
      </c>
      <c r="X277" s="72"/>
      <c r="Y277" s="71">
        <v>0.0</v>
      </c>
      <c r="Z277" s="60">
        <v>-0.041666666666666664</v>
      </c>
      <c r="AA277" s="85" t="s">
        <v>1538</v>
      </c>
      <c r="AB277" s="74" t="s">
        <v>1539</v>
      </c>
      <c r="AC277" s="75" t="s">
        <v>758</v>
      </c>
      <c r="AD277" s="74" t="s">
        <v>1540</v>
      </c>
      <c r="AE277" s="75" t="s">
        <v>1323</v>
      </c>
      <c r="AF277" s="61" t="s">
        <v>806</v>
      </c>
      <c r="AG277" s="61" t="s">
        <v>1541</v>
      </c>
      <c r="AH277" s="86">
        <v>4.0</v>
      </c>
      <c r="AI277" s="59">
        <v>0.39</v>
      </c>
    </row>
    <row r="278">
      <c r="A278" s="78" t="s">
        <v>1542</v>
      </c>
      <c r="B278" s="38">
        <v>4.0</v>
      </c>
      <c r="C278" s="39">
        <v>0.4166666666666667</v>
      </c>
      <c r="D278" s="40">
        <f t="array" ref="D278">IFERROR(INDIRECT("'renta'!G$"&amp;MATCH(T278,renta!$A:$A,0))*0.975-(G278*INDIRECT("'renta'!G$"&amp;MATCH(F278,renta!$A:$A,0)))/B278-IFERROR((J278*INDIRECT("'renta'!G$"&amp;MATCH(I278,renta!$A:$A,0)))/B278,0),)</f>
        <v>0.4578371271</v>
      </c>
      <c r="E278" s="41">
        <f t="shared" si="1"/>
        <v>0.5091148853</v>
      </c>
      <c r="F278" s="40" t="s">
        <v>21</v>
      </c>
      <c r="G278" s="43">
        <f t="shared" si="2"/>
        <v>1025.734</v>
      </c>
      <c r="H278" s="44" t="s">
        <v>1543</v>
      </c>
      <c r="I278" s="40" t="s">
        <v>37</v>
      </c>
      <c r="J278" s="40">
        <f t="shared" si="23"/>
        <v>10.26</v>
      </c>
      <c r="K278" s="40">
        <v>10.8</v>
      </c>
      <c r="L278" s="38" t="s">
        <v>1327</v>
      </c>
      <c r="M278" s="46">
        <v>43.6</v>
      </c>
      <c r="N278" s="46">
        <v>40.0</v>
      </c>
      <c r="O278" s="42" t="s">
        <v>78</v>
      </c>
      <c r="P278" s="46">
        <v>57.0</v>
      </c>
      <c r="Q278" s="46"/>
      <c r="R278" s="47">
        <f t="array" ref="R278">INDIRECT("'renta'!G$"&amp;MATCH(O278,renta!$A:$A,0))*P278</f>
        <v>17534.4646</v>
      </c>
      <c r="S278" s="48">
        <f t="shared" si="24"/>
        <v>57306.02458</v>
      </c>
      <c r="T278" s="49" t="str">
        <f t="shared" si="25"/>
        <v>CERAMICS</v>
      </c>
      <c r="U278" s="50">
        <f t="shared" si="5"/>
        <v>0.03140915236</v>
      </c>
      <c r="V278" s="80">
        <v>43.6</v>
      </c>
      <c r="W278" s="52">
        <f t="shared" si="6"/>
        <v>0.04200340615</v>
      </c>
      <c r="X278" s="52"/>
      <c r="Y278" s="80">
        <v>0.0</v>
      </c>
      <c r="Z278" s="39">
        <v>-0.03125</v>
      </c>
      <c r="AA278" s="81" t="s">
        <v>1544</v>
      </c>
      <c r="AB278" s="82" t="s">
        <v>1545</v>
      </c>
      <c r="AC278" s="54" t="s">
        <v>765</v>
      </c>
      <c r="AD278" s="82" t="s">
        <v>1546</v>
      </c>
      <c r="AE278" s="54" t="s">
        <v>1330</v>
      </c>
      <c r="AF278" s="40" t="s">
        <v>806</v>
      </c>
      <c r="AG278" s="40" t="s">
        <v>1547</v>
      </c>
      <c r="AH278" s="87">
        <v>4.0</v>
      </c>
      <c r="AI278" s="38">
        <v>0.39</v>
      </c>
    </row>
    <row r="279">
      <c r="A279" s="58" t="s">
        <v>1548</v>
      </c>
      <c r="B279" s="59">
        <v>5.0</v>
      </c>
      <c r="C279" s="60">
        <v>0.5208333333333334</v>
      </c>
      <c r="D279" s="61">
        <f t="array" ref="D279">IFERROR(INDIRECT("'renta'!G$"&amp;MATCH(T279,renta!$A:$A,0))*0.975-(G279*INDIRECT("'renta'!G$"&amp;MATCH(F279,renta!$A:$A,0)))/B279-IFERROR((J279*INDIRECT("'renta'!G$"&amp;MATCH(I279,renta!$A:$A,0)))/B279,0),)</f>
        <v>0.9595620796</v>
      </c>
      <c r="E279" s="41">
        <f t="shared" si="1"/>
        <v>1.067033032</v>
      </c>
      <c r="F279" s="61" t="s">
        <v>21</v>
      </c>
      <c r="G279" s="62">
        <f t="shared" si="2"/>
        <v>1274.254</v>
      </c>
      <c r="H279" s="63" t="s">
        <v>1549</v>
      </c>
      <c r="I279" s="61" t="s">
        <v>37</v>
      </c>
      <c r="J279" s="61">
        <f t="shared" si="23"/>
        <v>12.7395</v>
      </c>
      <c r="K279" s="61">
        <v>13.41</v>
      </c>
      <c r="L279" s="59" t="s">
        <v>1334</v>
      </c>
      <c r="M279" s="65">
        <v>54.5</v>
      </c>
      <c r="N279" s="65">
        <v>40.0</v>
      </c>
      <c r="O279" s="66" t="s">
        <v>84</v>
      </c>
      <c r="P279" s="65">
        <v>11.0</v>
      </c>
      <c r="Q279" s="65"/>
      <c r="R279" s="67">
        <f t="array" ref="R279">INDIRECT("'renta'!G$"&amp;MATCH(O279,renta!$A:$A,0))*P279</f>
        <v>19203.446</v>
      </c>
      <c r="S279" s="68">
        <f t="shared" si="24"/>
        <v>76509.47059</v>
      </c>
      <c r="T279" s="69" t="str">
        <f t="shared" si="25"/>
        <v>CERAMICS</v>
      </c>
      <c r="U279" s="70">
        <f t="shared" si="5"/>
        <v>0.02905302241</v>
      </c>
      <c r="V279" s="71"/>
      <c r="W279" s="72" t="str">
        <f t="shared" si="6"/>
        <v/>
      </c>
      <c r="X279" s="72"/>
      <c r="Y279" s="71">
        <v>1.0</v>
      </c>
      <c r="Z279" s="60">
        <v>0.10416666666666667</v>
      </c>
      <c r="AA279" s="73">
        <v>0.0</v>
      </c>
      <c r="AB279" s="74" t="s">
        <v>1550</v>
      </c>
      <c r="AC279" s="75" t="s">
        <v>777</v>
      </c>
      <c r="AD279" s="74" t="s">
        <v>1551</v>
      </c>
      <c r="AE279" s="75" t="s">
        <v>1337</v>
      </c>
      <c r="AF279" s="61" t="s">
        <v>806</v>
      </c>
      <c r="AG279" s="61" t="s">
        <v>1552</v>
      </c>
      <c r="AH279" s="86">
        <v>4.0</v>
      </c>
      <c r="AI279" s="59">
        <v>0.39</v>
      </c>
    </row>
    <row r="280">
      <c r="A280" s="78" t="s">
        <v>1553</v>
      </c>
      <c r="B280" s="38">
        <v>5.0</v>
      </c>
      <c r="C280" s="39">
        <v>0.4583333333333333</v>
      </c>
      <c r="D280" s="40">
        <f t="array" ref="D280">IFERROR(INDIRECT("'renta'!G$"&amp;MATCH(T280,renta!$A:$A,0))*0.975-(G280*INDIRECT("'renta'!G$"&amp;MATCH(F280,renta!$A:$A,0)))/B280-IFERROR((J280*INDIRECT("'renta'!G$"&amp;MATCH(I280,renta!$A:$A,0)))/B280,0),)</f>
        <v>1.416154482</v>
      </c>
      <c r="E280" s="41">
        <f t="shared" si="1"/>
        <v>1.7895043</v>
      </c>
      <c r="F280" s="40" t="s">
        <v>21</v>
      </c>
      <c r="G280" s="43">
        <f t="shared" si="2"/>
        <v>1266.7775</v>
      </c>
      <c r="H280" s="44" t="s">
        <v>1554</v>
      </c>
      <c r="I280" s="40" t="s">
        <v>37</v>
      </c>
      <c r="J280" s="40">
        <f t="shared" si="23"/>
        <v>12.6635</v>
      </c>
      <c r="K280" s="40">
        <v>13.33</v>
      </c>
      <c r="L280" s="38" t="s">
        <v>1341</v>
      </c>
      <c r="M280" s="46">
        <v>54.5</v>
      </c>
      <c r="N280" s="46">
        <v>40.0</v>
      </c>
      <c r="O280" s="42" t="s">
        <v>84</v>
      </c>
      <c r="P280" s="46">
        <v>14.0</v>
      </c>
      <c r="Q280" s="46"/>
      <c r="R280" s="47">
        <f t="array" ref="R280">INDIRECT("'renta'!G$"&amp;MATCH(O280,renta!$A:$A,0))*P280</f>
        <v>24440.74946</v>
      </c>
      <c r="S280" s="48">
        <f t="shared" si="24"/>
        <v>100950.22</v>
      </c>
      <c r="T280" s="49" t="str">
        <f t="shared" si="25"/>
        <v>CERAMICS</v>
      </c>
      <c r="U280" s="50">
        <f t="shared" si="5"/>
        <v>0.02956011101</v>
      </c>
      <c r="V280" s="80"/>
      <c r="W280" s="52" t="str">
        <f t="shared" si="6"/>
        <v/>
      </c>
      <c r="X280" s="52"/>
      <c r="Y280" s="80">
        <v>0.0</v>
      </c>
      <c r="Z280" s="39">
        <v>-0.0625</v>
      </c>
      <c r="AA280" s="81" t="s">
        <v>1555</v>
      </c>
      <c r="AB280" s="82" t="s">
        <v>1556</v>
      </c>
      <c r="AC280" s="54" t="s">
        <v>782</v>
      </c>
      <c r="AD280" s="111">
        <v>46294.0</v>
      </c>
      <c r="AE280" s="54" t="s">
        <v>1343</v>
      </c>
      <c r="AF280" s="40" t="s">
        <v>806</v>
      </c>
      <c r="AG280" s="40" t="s">
        <v>1557</v>
      </c>
      <c r="AH280" s="87">
        <v>4.0</v>
      </c>
      <c r="AI280" s="38">
        <v>0.39</v>
      </c>
    </row>
    <row r="281">
      <c r="A281" s="58" t="s">
        <v>1558</v>
      </c>
      <c r="B281" s="59">
        <v>5.0</v>
      </c>
      <c r="C281" s="60">
        <v>0.40625</v>
      </c>
      <c r="D281" s="61">
        <f t="array" ref="D281">IFERROR(INDIRECT("'renta'!G$"&amp;MATCH(T281,renta!$A:$A,0))*0.975-(G281*INDIRECT("'renta'!G$"&amp;MATCH(F281,renta!$A:$A,0)))/B281-IFERROR((J281*INDIRECT("'renta'!G$"&amp;MATCH(I281,renta!$A:$A,0)))/B281,0),)</f>
        <v>1.833314334</v>
      </c>
      <c r="E281" s="41">
        <f t="shared" si="1"/>
        <v>2.613648127</v>
      </c>
      <c r="F281" s="61" t="s">
        <v>21</v>
      </c>
      <c r="G281" s="62">
        <f t="shared" si="2"/>
        <v>1259.5005</v>
      </c>
      <c r="H281" s="63" t="s">
        <v>1559</v>
      </c>
      <c r="I281" s="61" t="s">
        <v>37</v>
      </c>
      <c r="J281" s="61">
        <f t="shared" si="23"/>
        <v>12.597</v>
      </c>
      <c r="K281" s="61">
        <v>13.26</v>
      </c>
      <c r="L281" s="59" t="s">
        <v>1347</v>
      </c>
      <c r="M281" s="65">
        <v>54.5</v>
      </c>
      <c r="N281" s="65">
        <v>40.0</v>
      </c>
      <c r="O281" s="66" t="s">
        <v>87</v>
      </c>
      <c r="P281" s="65">
        <v>38.0</v>
      </c>
      <c r="Q281" s="65"/>
      <c r="R281" s="67">
        <f t="array" ref="R281">INDIRECT("'renta'!G$"&amp;MATCH(O281,renta!$A:$A,0))*P281</f>
        <v>85500</v>
      </c>
      <c r="S281" s="68">
        <f t="shared" si="24"/>
        <v>186450.22</v>
      </c>
      <c r="T281" s="69" t="str">
        <f t="shared" si="25"/>
        <v>CERAMICS</v>
      </c>
      <c r="U281" s="70">
        <f t="shared" si="5"/>
        <v>0.009639109092</v>
      </c>
      <c r="V281" s="71"/>
      <c r="W281" s="72" t="str">
        <f t="shared" si="6"/>
        <v/>
      </c>
      <c r="X281" s="72"/>
      <c r="Y281" s="71">
        <v>0.0</v>
      </c>
      <c r="Z281" s="60">
        <v>-0.052083333333333336</v>
      </c>
      <c r="AA281" s="85" t="s">
        <v>1560</v>
      </c>
      <c r="AB281" s="74" t="s">
        <v>1561</v>
      </c>
      <c r="AC281" s="75" t="s">
        <v>1562</v>
      </c>
      <c r="AD281" s="74" t="s">
        <v>1563</v>
      </c>
      <c r="AE281" s="75" t="s">
        <v>1350</v>
      </c>
      <c r="AF281" s="61" t="s">
        <v>806</v>
      </c>
      <c r="AG281" s="61" t="s">
        <v>1564</v>
      </c>
      <c r="AH281" s="86">
        <v>4.0</v>
      </c>
      <c r="AI281" s="59">
        <v>0.39</v>
      </c>
    </row>
    <row r="282">
      <c r="A282" s="78" t="s">
        <v>1565</v>
      </c>
      <c r="B282" s="38">
        <v>5.0</v>
      </c>
      <c r="C282" s="39">
        <v>0.3645833333333333</v>
      </c>
      <c r="D282" s="40">
        <f t="array" ref="D282">IFERROR(INDIRECT("'renta'!G$"&amp;MATCH(T282,renta!$A:$A,0))*0.975-(G282*INDIRECT("'renta'!G$"&amp;MATCH(F282,renta!$A:$A,0)))/B282-IFERROR((J282*INDIRECT("'renta'!G$"&amp;MATCH(I282,renta!$A:$A,0)))/B282,0),)</f>
        <v>2.280558736</v>
      </c>
      <c r="E282" s="41">
        <f t="shared" si="1"/>
        <v>3.622830449</v>
      </c>
      <c r="F282" s="40" t="s">
        <v>21</v>
      </c>
      <c r="G282" s="43">
        <f t="shared" si="2"/>
        <v>1252.4135</v>
      </c>
      <c r="H282" s="44" t="s">
        <v>1566</v>
      </c>
      <c r="I282" s="40" t="s">
        <v>37</v>
      </c>
      <c r="J282" s="40">
        <f t="shared" si="23"/>
        <v>12.521</v>
      </c>
      <c r="K282" s="40">
        <v>13.18</v>
      </c>
      <c r="L282" s="38" t="s">
        <v>1354</v>
      </c>
      <c r="M282" s="46">
        <v>54.5</v>
      </c>
      <c r="N282" s="46">
        <v>40.0</v>
      </c>
      <c r="O282" s="42" t="s">
        <v>87</v>
      </c>
      <c r="P282" s="46">
        <v>48.0</v>
      </c>
      <c r="Q282" s="46"/>
      <c r="R282" s="47">
        <f t="array" ref="R282">INDIRECT("'renta'!G$"&amp;MATCH(O282,renta!$A:$A,0))*P282</f>
        <v>108000</v>
      </c>
      <c r="S282" s="48">
        <f t="shared" si="24"/>
        <v>294450.22</v>
      </c>
      <c r="T282" s="49" t="str">
        <f t="shared" si="25"/>
        <v>CERAMICS</v>
      </c>
      <c r="U282" s="50">
        <f t="shared" si="5"/>
        <v>0.00934428076</v>
      </c>
      <c r="V282" s="80"/>
      <c r="W282" s="52" t="str">
        <f t="shared" si="6"/>
        <v/>
      </c>
      <c r="X282" s="52"/>
      <c r="Y282" s="80">
        <v>0.0</v>
      </c>
      <c r="Z282" s="39">
        <v>-0.041666666666666664</v>
      </c>
      <c r="AA282" s="81" t="s">
        <v>1567</v>
      </c>
      <c r="AB282" s="82" t="s">
        <v>1568</v>
      </c>
      <c r="AC282" s="54" t="s">
        <v>795</v>
      </c>
      <c r="AD282" s="82" t="s">
        <v>1569</v>
      </c>
      <c r="AE282" s="54" t="s">
        <v>1357</v>
      </c>
      <c r="AF282" s="40" t="s">
        <v>806</v>
      </c>
      <c r="AG282" s="40" t="s">
        <v>1570</v>
      </c>
      <c r="AH282" s="87">
        <v>4.0</v>
      </c>
      <c r="AI282" s="38">
        <v>0.39</v>
      </c>
    </row>
    <row r="283">
      <c r="A283" s="58" t="s">
        <v>1571</v>
      </c>
      <c r="B283" s="59">
        <v>5.0</v>
      </c>
      <c r="C283" s="60">
        <v>0.3333333333333333</v>
      </c>
      <c r="D283" s="61">
        <f t="array" ref="D283">IFERROR(INDIRECT("'renta'!G$"&amp;MATCH(T283,renta!$A:$A,0))*0.975-(G283*INDIRECT("'renta'!G$"&amp;MATCH(F283,renta!$A:$A,0)))/B283-IFERROR((J283*INDIRECT("'renta'!G$"&amp;MATCH(I283,renta!$A:$A,0)))/B283,0),)</f>
        <v>2.685862588</v>
      </c>
      <c r="E283" s="41">
        <f t="shared" si="1"/>
        <v>4.666686246</v>
      </c>
      <c r="F283" s="61" t="s">
        <v>21</v>
      </c>
      <c r="G283" s="62">
        <f t="shared" si="2"/>
        <v>1245.6305</v>
      </c>
      <c r="H283" s="63" t="s">
        <v>1572</v>
      </c>
      <c r="I283" s="61" t="s">
        <v>37</v>
      </c>
      <c r="J283" s="61">
        <f t="shared" si="23"/>
        <v>12.4545</v>
      </c>
      <c r="K283" s="59">
        <v>13.11</v>
      </c>
      <c r="L283" s="59" t="s">
        <v>1361</v>
      </c>
      <c r="M283" s="65">
        <v>54.5</v>
      </c>
      <c r="N283" s="65">
        <v>40.0</v>
      </c>
      <c r="O283" s="66" t="s">
        <v>87</v>
      </c>
      <c r="P283" s="65">
        <v>60.0</v>
      </c>
      <c r="Q283" s="65"/>
      <c r="R283" s="67">
        <f t="array" ref="R283">INDIRECT("'renta'!G$"&amp;MATCH(O283,renta!$A:$A,0))*P283</f>
        <v>135000</v>
      </c>
      <c r="S283" s="68">
        <f t="shared" si="24"/>
        <v>429450.22</v>
      </c>
      <c r="T283" s="69" t="str">
        <f t="shared" si="25"/>
        <v>CERAMICS</v>
      </c>
      <c r="U283" s="70">
        <f t="shared" si="5"/>
        <v>0.007732265165</v>
      </c>
      <c r="V283" s="71"/>
      <c r="W283" s="72" t="str">
        <f t="shared" si="6"/>
        <v/>
      </c>
      <c r="X283" s="72"/>
      <c r="Y283" s="71">
        <v>0.0</v>
      </c>
      <c r="Z283" s="60">
        <v>-0.03125</v>
      </c>
      <c r="AA283" s="85" t="s">
        <v>1328</v>
      </c>
      <c r="AB283" s="74" t="s">
        <v>1573</v>
      </c>
      <c r="AC283" s="75" t="s">
        <v>802</v>
      </c>
      <c r="AD283" s="74" t="s">
        <v>1574</v>
      </c>
      <c r="AE283" s="75" t="s">
        <v>1363</v>
      </c>
      <c r="AF283" s="61" t="s">
        <v>806</v>
      </c>
      <c r="AG283" s="61" t="s">
        <v>1575</v>
      </c>
      <c r="AH283" s="86">
        <v>4.0</v>
      </c>
      <c r="AI283" s="59">
        <v>0.39</v>
      </c>
    </row>
    <row r="284">
      <c r="A284" s="78" t="s">
        <v>1576</v>
      </c>
      <c r="B284" s="38">
        <v>6.0</v>
      </c>
      <c r="C284" s="39">
        <v>0.3333333333333333</v>
      </c>
      <c r="D284" s="40">
        <f t="array" ref="D284">IFERROR(INDIRECT("'renta'!G$"&amp;MATCH(T284,renta!$A:$A,0))*0.975-(G284*INDIRECT("'renta'!G$"&amp;MATCH(F284,renta!$A:$A,0)))/B284-IFERROR((J284*INDIRECT("'renta'!G$"&amp;MATCH(I284,renta!$A:$A,0)))/B284,0),)</f>
        <v>3.078552348</v>
      </c>
      <c r="E284" s="41">
        <f t="shared" si="1"/>
        <v>6.418781646</v>
      </c>
      <c r="F284" s="40" t="s">
        <v>21</v>
      </c>
      <c r="G284" s="43">
        <f t="shared" si="2"/>
        <v>1486.959</v>
      </c>
      <c r="H284" s="44" t="s">
        <v>1577</v>
      </c>
      <c r="I284" s="40" t="s">
        <v>37</v>
      </c>
      <c r="J284" s="40">
        <f t="shared" si="23"/>
        <v>14.8675</v>
      </c>
      <c r="K284" s="40">
        <v>15.65</v>
      </c>
      <c r="L284" s="38" t="s">
        <v>1366</v>
      </c>
      <c r="M284" s="46">
        <v>63.0</v>
      </c>
      <c r="N284" s="46">
        <v>40.0</v>
      </c>
      <c r="O284" s="42" t="s">
        <v>90</v>
      </c>
      <c r="P284" s="46">
        <v>9.0</v>
      </c>
      <c r="Q284" s="46"/>
      <c r="R284" s="47">
        <f t="array" ref="R284">INDIRECT("'renta'!G$"&amp;MATCH(O284,renta!$A:$A,0))*P284</f>
        <v>81000</v>
      </c>
      <c r="S284" s="48">
        <f t="shared" si="24"/>
        <v>510450.22</v>
      </c>
      <c r="T284" s="49" t="str">
        <f t="shared" si="25"/>
        <v>CERAMICS</v>
      </c>
      <c r="U284" s="50">
        <f t="shared" si="5"/>
        <v>0.0216308074</v>
      </c>
      <c r="V284" s="80"/>
      <c r="W284" s="52" t="str">
        <f t="shared" si="6"/>
        <v/>
      </c>
      <c r="X284" s="52"/>
      <c r="Y284" s="80">
        <v>1.0</v>
      </c>
      <c r="Z284" s="39">
        <v>0.0</v>
      </c>
      <c r="AA284" s="53">
        <v>0.2</v>
      </c>
      <c r="AB284" s="82" t="s">
        <v>1578</v>
      </c>
      <c r="AC284" s="54" t="s">
        <v>802</v>
      </c>
      <c r="AD284" s="82" t="s">
        <v>1579</v>
      </c>
      <c r="AE284" s="54" t="s">
        <v>1368</v>
      </c>
      <c r="AF284" s="40" t="s">
        <v>806</v>
      </c>
      <c r="AG284" s="40" t="s">
        <v>1468</v>
      </c>
      <c r="AH284" s="87">
        <v>4.0</v>
      </c>
      <c r="AI284" s="38">
        <v>0.39</v>
      </c>
    </row>
    <row r="285">
      <c r="A285" s="96"/>
      <c r="B285" s="97"/>
      <c r="C285" s="98"/>
      <c r="D285" s="61" t="str">
        <f t="array" ref="D285">IFERROR(INDIRECT("'renta'!G$"&amp;MATCH(T285,renta!$A:$A,0))*0.975-(G285*INDIRECT("'renta'!G$"&amp;MATCH(F285,renta!$A:$A,0)))/B285-IFERROR((J285*INDIRECT("'renta'!G$"&amp;MATCH(I285,renta!$A:$A,0)))/B285,0),)</f>
        <v/>
      </c>
      <c r="E285" s="41">
        <f t="shared" si="1"/>
        <v>0</v>
      </c>
      <c r="F285" s="64"/>
      <c r="G285" s="62">
        <f t="shared" si="2"/>
        <v>0</v>
      </c>
      <c r="H285" s="99"/>
      <c r="I285" s="64"/>
      <c r="J285" s="61">
        <f t="shared" si="23"/>
        <v>0</v>
      </c>
      <c r="K285" s="64"/>
      <c r="L285" s="100"/>
      <c r="M285" s="101"/>
      <c r="N285" s="101"/>
      <c r="O285" s="102"/>
      <c r="P285" s="101"/>
      <c r="Q285" s="101"/>
      <c r="R285" s="67"/>
      <c r="S285" s="68"/>
      <c r="T285" s="69" t="str">
        <f t="shared" si="25"/>
        <v/>
      </c>
      <c r="U285" s="70" t="str">
        <f t="shared" si="5"/>
        <v>#DIV/0!</v>
      </c>
      <c r="V285" s="103"/>
      <c r="W285" s="72" t="str">
        <f t="shared" si="6"/>
        <v/>
      </c>
      <c r="X285" s="72"/>
      <c r="Y285" s="103"/>
      <c r="Z285" s="98"/>
      <c r="AA285" s="104"/>
      <c r="AB285" s="70"/>
      <c r="AC285" s="76"/>
      <c r="AD285" s="70"/>
      <c r="AE285" s="76"/>
      <c r="AF285" s="64"/>
      <c r="AG285" s="64"/>
      <c r="AH285" s="77"/>
      <c r="AI285" s="98"/>
    </row>
    <row r="286">
      <c r="A286" s="78" t="s">
        <v>1580</v>
      </c>
      <c r="B286" s="38">
        <v>1.0</v>
      </c>
      <c r="C286" s="39">
        <v>0.5</v>
      </c>
      <c r="D286" s="40">
        <f t="array" ref="D286">IFERROR(INDIRECT("'renta'!G$"&amp;MATCH(T286,renta!$A:$A,0))*0.975-(G286*INDIRECT("'renta'!G$"&amp;MATCH(F286,renta!$A:$A,0)))/B286-IFERROR((J286*INDIRECT("'renta'!G$"&amp;MATCH(I286,renta!$A:$A,0)))/B286,0),)</f>
        <v>-3.4925</v>
      </c>
      <c r="E286" s="41">
        <f t="shared" si="1"/>
        <v>-0.8090958333</v>
      </c>
      <c r="F286" s="40" t="s">
        <v>27</v>
      </c>
      <c r="G286" s="43">
        <f t="shared" si="2"/>
        <v>4.75</v>
      </c>
      <c r="H286" s="44" t="s">
        <v>1581</v>
      </c>
      <c r="I286" s="79"/>
      <c r="J286" s="40">
        <f t="shared" si="23"/>
        <v>0</v>
      </c>
      <c r="K286" s="79"/>
      <c r="L286" s="38" t="s">
        <v>137</v>
      </c>
      <c r="M286" s="46">
        <v>5.0</v>
      </c>
      <c r="N286" s="46">
        <v>100.0</v>
      </c>
      <c r="O286" s="42" t="s">
        <v>12</v>
      </c>
      <c r="P286" s="46">
        <v>1.0</v>
      </c>
      <c r="Q286" s="46"/>
      <c r="R286" s="47">
        <f t="array" ref="R286">INDIRECT("'renta'!G$"&amp;MATCH(O286,renta!$A:$A,0))*P286</f>
        <v>0.0041</v>
      </c>
      <c r="S286" s="48">
        <f t="shared" ref="S286:S305" si="26">SUM(R$286:R286)</f>
        <v>0.0041</v>
      </c>
      <c r="T286" s="49" t="str">
        <f t="shared" si="25"/>
        <v>STEEL</v>
      </c>
      <c r="U286" s="50">
        <f t="shared" si="5"/>
        <v>-197340.4472</v>
      </c>
      <c r="V286" s="80"/>
      <c r="W286" s="52" t="str">
        <f t="shared" si="6"/>
        <v/>
      </c>
      <c r="X286" s="52"/>
      <c r="Y286" s="80">
        <v>0.0</v>
      </c>
      <c r="Z286" s="39">
        <v>0.0</v>
      </c>
      <c r="AA286" s="53">
        <v>0.0</v>
      </c>
      <c r="AB286" s="82" t="s">
        <v>1582</v>
      </c>
      <c r="AC286" s="54" t="s">
        <v>1258</v>
      </c>
      <c r="AD286" s="50"/>
      <c r="AE286" s="83"/>
      <c r="AF286" s="40" t="s">
        <v>806</v>
      </c>
      <c r="AG286" s="40" t="s">
        <v>1583</v>
      </c>
      <c r="AH286" s="87">
        <v>20.0</v>
      </c>
      <c r="AI286" s="38">
        <v>0.39</v>
      </c>
    </row>
    <row r="287">
      <c r="A287" s="58" t="s">
        <v>1584</v>
      </c>
      <c r="B287" s="59">
        <v>1.0</v>
      </c>
      <c r="C287" s="60">
        <v>0.4722222222222222</v>
      </c>
      <c r="D287" s="61">
        <f t="array" ref="D287">IFERROR(INDIRECT("'renta'!G$"&amp;MATCH(T287,renta!$A:$A,0))*0.975-(G287*INDIRECT("'renta'!G$"&amp;MATCH(F287,renta!$A:$A,0)))/B287-IFERROR((J287*INDIRECT("'renta'!G$"&amp;MATCH(I287,renta!$A:$A,0)))/B287,0),)</f>
        <v>-2.38461</v>
      </c>
      <c r="E287" s="41">
        <f t="shared" si="1"/>
        <v>-0.5849308059</v>
      </c>
      <c r="F287" s="61" t="s">
        <v>27</v>
      </c>
      <c r="G287" s="62">
        <f t="shared" si="2"/>
        <v>4.617</v>
      </c>
      <c r="H287" s="63" t="s">
        <v>1585</v>
      </c>
      <c r="I287" s="64"/>
      <c r="J287" s="61">
        <f t="shared" si="23"/>
        <v>0</v>
      </c>
      <c r="K287" s="64"/>
      <c r="L287" s="59" t="s">
        <v>1586</v>
      </c>
      <c r="M287" s="65">
        <v>5.0</v>
      </c>
      <c r="N287" s="65">
        <v>100.0</v>
      </c>
      <c r="O287" s="66" t="s">
        <v>30</v>
      </c>
      <c r="P287" s="65">
        <v>3.0</v>
      </c>
      <c r="Q287" s="112">
        <f t="shared" ref="Q287:Q299" si="27">SUM(P$287:P287)</f>
        <v>3</v>
      </c>
      <c r="R287" s="67">
        <f t="array" ref="R287">INDIRECT("'renta'!G$"&amp;MATCH(O287,renta!$A:$A,0))*P287</f>
        <v>111</v>
      </c>
      <c r="S287" s="68">
        <f t="shared" si="26"/>
        <v>111.0041</v>
      </c>
      <c r="T287" s="69" t="str">
        <f t="shared" si="25"/>
        <v>STEEL</v>
      </c>
      <c r="U287" s="70">
        <f t="shared" si="5"/>
        <v>2.019504752</v>
      </c>
      <c r="V287" s="71">
        <v>5.0</v>
      </c>
      <c r="W287" s="72">
        <f t="shared" si="6"/>
        <v>-0.476922</v>
      </c>
      <c r="X287" s="72"/>
      <c r="Y287" s="71">
        <v>0.0</v>
      </c>
      <c r="Z287" s="60">
        <v>-0.027777777777777776</v>
      </c>
      <c r="AA287" s="85" t="s">
        <v>1355</v>
      </c>
      <c r="AB287" s="74" t="s">
        <v>1587</v>
      </c>
      <c r="AC287" s="75" t="s">
        <v>1588</v>
      </c>
      <c r="AD287" s="70"/>
      <c r="AE287" s="76"/>
      <c r="AF287" s="61" t="s">
        <v>806</v>
      </c>
      <c r="AG287" s="61" t="s">
        <v>1589</v>
      </c>
      <c r="AH287" s="86">
        <v>20.0</v>
      </c>
      <c r="AI287" s="59">
        <v>0.39</v>
      </c>
    </row>
    <row r="288">
      <c r="A288" s="78" t="s">
        <v>1590</v>
      </c>
      <c r="B288" s="38">
        <v>1.0</v>
      </c>
      <c r="C288" s="39">
        <v>0.4513888888888889</v>
      </c>
      <c r="D288" s="40">
        <f t="array" ref="D288">IFERROR(INDIRECT("'renta'!G$"&amp;MATCH(T288,renta!$A:$A,0))*0.975-(G288*INDIRECT("'renta'!G$"&amp;MATCH(F288,renta!$A:$A,0)))/B288-IFERROR((J288*INDIRECT("'renta'!G$"&amp;MATCH(I288,renta!$A:$A,0)))/B288,0),)</f>
        <v>-1.43499</v>
      </c>
      <c r="E288" s="41">
        <f t="shared" si="1"/>
        <v>-0.3682405108</v>
      </c>
      <c r="F288" s="40" t="s">
        <v>27</v>
      </c>
      <c r="G288" s="43">
        <f t="shared" si="2"/>
        <v>4.503</v>
      </c>
      <c r="H288" s="44" t="s">
        <v>1591</v>
      </c>
      <c r="I288" s="79"/>
      <c r="J288" s="40">
        <f t="shared" si="23"/>
        <v>0</v>
      </c>
      <c r="K288" s="79"/>
      <c r="L288" s="38" t="s">
        <v>1592</v>
      </c>
      <c r="M288" s="46">
        <v>5.0</v>
      </c>
      <c r="N288" s="46">
        <v>100.0</v>
      </c>
      <c r="O288" s="42" t="s">
        <v>30</v>
      </c>
      <c r="P288" s="46">
        <v>5.0</v>
      </c>
      <c r="Q288" s="113">
        <f t="shared" si="27"/>
        <v>8</v>
      </c>
      <c r="R288" s="47">
        <f t="array" ref="R288">INDIRECT("'renta'!G$"&amp;MATCH(O288,renta!$A:$A,0))*P288</f>
        <v>185</v>
      </c>
      <c r="S288" s="48">
        <f t="shared" si="26"/>
        <v>296.0041</v>
      </c>
      <c r="T288" s="49" t="str">
        <f t="shared" si="25"/>
        <v>STEEL</v>
      </c>
      <c r="U288" s="50">
        <f t="shared" si="5"/>
        <v>1.171298893</v>
      </c>
      <c r="V288" s="80">
        <v>5.0</v>
      </c>
      <c r="W288" s="52">
        <f t="shared" si="6"/>
        <v>-0.286998</v>
      </c>
      <c r="X288" s="52">
        <f t="shared" ref="X288:X299" si="28">(W288-W287)/R288*100000</f>
        <v>102.6616216</v>
      </c>
      <c r="Y288" s="80">
        <v>0.0</v>
      </c>
      <c r="Z288" s="39">
        <v>-0.020833333333333332</v>
      </c>
      <c r="AA288" s="81" t="s">
        <v>1593</v>
      </c>
      <c r="AB288" s="82" t="s">
        <v>1594</v>
      </c>
      <c r="AC288" s="54" t="s">
        <v>1595</v>
      </c>
      <c r="AD288" s="50"/>
      <c r="AE288" s="83"/>
      <c r="AF288" s="40" t="s">
        <v>806</v>
      </c>
      <c r="AG288" s="40" t="s">
        <v>1596</v>
      </c>
      <c r="AH288" s="87">
        <v>20.0</v>
      </c>
      <c r="AI288" s="38">
        <v>0.39</v>
      </c>
    </row>
    <row r="289">
      <c r="A289" s="58" t="s">
        <v>1597</v>
      </c>
      <c r="B289" s="59">
        <v>1.0</v>
      </c>
      <c r="C289" s="60">
        <v>0.4340277777777778</v>
      </c>
      <c r="D289" s="61">
        <f t="array" ref="D289">IFERROR(INDIRECT("'renta'!G$"&amp;MATCH(T289,renta!$A:$A,0))*0.975-(G289*INDIRECT("'renta'!G$"&amp;MATCH(F289,renta!$A:$A,0)))/B289-IFERROR((J289*INDIRECT("'renta'!G$"&amp;MATCH(I289,renta!$A:$A,0)))/B289,0),)</f>
        <v>-0.722775</v>
      </c>
      <c r="E289" s="41">
        <f t="shared" si="1"/>
        <v>-0.192894192</v>
      </c>
      <c r="F289" s="61" t="s">
        <v>27</v>
      </c>
      <c r="G289" s="62">
        <f t="shared" si="2"/>
        <v>4.4175</v>
      </c>
      <c r="H289" s="63" t="s">
        <v>1598</v>
      </c>
      <c r="I289" s="64"/>
      <c r="J289" s="61">
        <f t="shared" si="23"/>
        <v>0</v>
      </c>
      <c r="K289" s="64"/>
      <c r="L289" s="59" t="s">
        <v>1599</v>
      </c>
      <c r="M289" s="65">
        <v>5.0</v>
      </c>
      <c r="N289" s="65">
        <v>100.0</v>
      </c>
      <c r="O289" s="66" t="s">
        <v>30</v>
      </c>
      <c r="P289" s="65">
        <v>8.0</v>
      </c>
      <c r="Q289" s="112">
        <f t="shared" si="27"/>
        <v>16</v>
      </c>
      <c r="R289" s="67">
        <f t="array" ref="R289">INDIRECT("'renta'!G$"&amp;MATCH(O289,renta!$A:$A,0))*P289</f>
        <v>296</v>
      </c>
      <c r="S289" s="68">
        <f t="shared" si="26"/>
        <v>592.0041</v>
      </c>
      <c r="T289" s="69" t="str">
        <f t="shared" si="25"/>
        <v>STEEL</v>
      </c>
      <c r="U289" s="70">
        <f t="shared" si="5"/>
        <v>0.5923862121</v>
      </c>
      <c r="V289" s="71">
        <v>5.0</v>
      </c>
      <c r="W289" s="72">
        <f t="shared" si="6"/>
        <v>-0.144555</v>
      </c>
      <c r="X289" s="72">
        <f t="shared" si="28"/>
        <v>48.12263514</v>
      </c>
      <c r="Y289" s="71">
        <v>0.0</v>
      </c>
      <c r="Z289" s="60">
        <v>-0.017361111111111112</v>
      </c>
      <c r="AA289" s="73">
        <v>0.04</v>
      </c>
      <c r="AB289" s="74" t="s">
        <v>1600</v>
      </c>
      <c r="AC289" s="75" t="s">
        <v>1601</v>
      </c>
      <c r="AD289" s="70"/>
      <c r="AE289" s="76"/>
      <c r="AF289" s="61" t="s">
        <v>806</v>
      </c>
      <c r="AG289" s="61" t="s">
        <v>1602</v>
      </c>
      <c r="AH289" s="86">
        <v>20.0</v>
      </c>
      <c r="AI289" s="59">
        <v>0.39</v>
      </c>
    </row>
    <row r="290">
      <c r="A290" s="78" t="s">
        <v>1603</v>
      </c>
      <c r="B290" s="38">
        <v>1.0</v>
      </c>
      <c r="C290" s="39">
        <v>0.4201388888888889</v>
      </c>
      <c r="D290" s="40">
        <f t="array" ref="D290">IFERROR(INDIRECT("'renta'!G$"&amp;MATCH(T290,renta!$A:$A,0))*0.975-(G290*INDIRECT("'renta'!G$"&amp;MATCH(F290,renta!$A:$A,0)))/B290-IFERROR((J290*INDIRECT("'renta'!G$"&amp;MATCH(I290,renta!$A:$A,0)))/B290,0),)</f>
        <v>-0.089695</v>
      </c>
      <c r="E290" s="41">
        <f t="shared" si="1"/>
        <v>-0.02472913388</v>
      </c>
      <c r="F290" s="40" t="s">
        <v>27</v>
      </c>
      <c r="G290" s="43">
        <f t="shared" si="2"/>
        <v>4.3415</v>
      </c>
      <c r="H290" s="44" t="s">
        <v>1604</v>
      </c>
      <c r="I290" s="79"/>
      <c r="J290" s="40">
        <f t="shared" si="23"/>
        <v>0</v>
      </c>
      <c r="K290" s="79"/>
      <c r="L290" s="38" t="s">
        <v>1605</v>
      </c>
      <c r="M290" s="46">
        <v>5.0</v>
      </c>
      <c r="N290" s="46">
        <v>100.0</v>
      </c>
      <c r="O290" s="42" t="s">
        <v>30</v>
      </c>
      <c r="P290" s="46">
        <v>11.0</v>
      </c>
      <c r="Q290" s="113">
        <f t="shared" si="27"/>
        <v>27</v>
      </c>
      <c r="R290" s="47">
        <f t="array" ref="R290">INDIRECT("'renta'!G$"&amp;MATCH(O290,renta!$A:$A,0))*P290</f>
        <v>407</v>
      </c>
      <c r="S290" s="48">
        <f t="shared" si="26"/>
        <v>999.0041</v>
      </c>
      <c r="T290" s="49" t="str">
        <f t="shared" si="25"/>
        <v>STEEL</v>
      </c>
      <c r="U290" s="50">
        <f t="shared" si="5"/>
        <v>0.413181961</v>
      </c>
      <c r="V290" s="80">
        <v>5.0</v>
      </c>
      <c r="W290" s="52">
        <f t="shared" si="6"/>
        <v>-0.017939</v>
      </c>
      <c r="X290" s="52">
        <f t="shared" si="28"/>
        <v>31.10958231</v>
      </c>
      <c r="Y290" s="80">
        <v>0.0</v>
      </c>
      <c r="Z290" s="39">
        <v>-0.013888888888888888</v>
      </c>
      <c r="AA290" s="81" t="s">
        <v>1606</v>
      </c>
      <c r="AB290" s="82" t="s">
        <v>1607</v>
      </c>
      <c r="AC290" s="54" t="s">
        <v>1608</v>
      </c>
      <c r="AD290" s="50"/>
      <c r="AE290" s="83"/>
      <c r="AF290" s="40" t="s">
        <v>806</v>
      </c>
      <c r="AG290" s="40" t="s">
        <v>1609</v>
      </c>
      <c r="AH290" s="87">
        <v>20.0</v>
      </c>
      <c r="AI290" s="38">
        <v>0.39</v>
      </c>
    </row>
    <row r="291">
      <c r="A291" s="58" t="s">
        <v>1610</v>
      </c>
      <c r="B291" s="59">
        <v>1.0</v>
      </c>
      <c r="C291" s="60">
        <v>0.4097222222222222</v>
      </c>
      <c r="D291" s="61">
        <f t="array" ref="D291">IFERROR(INDIRECT("'renta'!G$"&amp;MATCH(T291,renta!$A:$A,0))*0.975-(G291*INDIRECT("'renta'!G$"&amp;MATCH(F291,renta!$A:$A,0)))/B291-IFERROR((J291*INDIRECT("'renta'!G$"&amp;MATCH(I291,renta!$A:$A,0)))/B291,0),)</f>
        <v>0.46425</v>
      </c>
      <c r="E291" s="41">
        <f t="shared" si="1"/>
        <v>0.1312489831</v>
      </c>
      <c r="F291" s="61" t="s">
        <v>27</v>
      </c>
      <c r="G291" s="62">
        <f t="shared" si="2"/>
        <v>4.275</v>
      </c>
      <c r="H291" s="63" t="s">
        <v>1611</v>
      </c>
      <c r="I291" s="64"/>
      <c r="J291" s="61">
        <f t="shared" si="23"/>
        <v>0</v>
      </c>
      <c r="K291" s="64"/>
      <c r="L291" s="59" t="s">
        <v>1612</v>
      </c>
      <c r="M291" s="65">
        <v>5.0</v>
      </c>
      <c r="N291" s="65">
        <v>100.0</v>
      </c>
      <c r="O291" s="66" t="s">
        <v>30</v>
      </c>
      <c r="P291" s="65">
        <v>15.0</v>
      </c>
      <c r="Q291" s="112">
        <f t="shared" si="27"/>
        <v>42</v>
      </c>
      <c r="R291" s="67">
        <f t="array" ref="R291">INDIRECT("'renta'!G$"&amp;MATCH(O291,renta!$A:$A,0))*P291</f>
        <v>555</v>
      </c>
      <c r="S291" s="68">
        <f t="shared" si="26"/>
        <v>1554.0041</v>
      </c>
      <c r="T291" s="69" t="str">
        <f t="shared" si="25"/>
        <v>STEEL</v>
      </c>
      <c r="U291" s="70">
        <f t="shared" si="5"/>
        <v>0.2810416521</v>
      </c>
      <c r="V291" s="71">
        <v>5.0</v>
      </c>
      <c r="W291" s="72">
        <f t="shared" si="6"/>
        <v>0.09285</v>
      </c>
      <c r="X291" s="72">
        <f t="shared" si="28"/>
        <v>19.96198198</v>
      </c>
      <c r="Y291" s="71">
        <v>0.0</v>
      </c>
      <c r="Z291" s="60">
        <v>-0.010416666666666666</v>
      </c>
      <c r="AA291" s="85" t="s">
        <v>1613</v>
      </c>
      <c r="AB291" s="74" t="s">
        <v>1614</v>
      </c>
      <c r="AC291" s="75" t="s">
        <v>1615</v>
      </c>
      <c r="AD291" s="70"/>
      <c r="AE291" s="76"/>
      <c r="AF291" s="61" t="s">
        <v>806</v>
      </c>
      <c r="AG291" s="61" t="s">
        <v>1616</v>
      </c>
      <c r="AH291" s="86">
        <v>20.0</v>
      </c>
      <c r="AI291" s="59">
        <v>0.39</v>
      </c>
    </row>
    <row r="292">
      <c r="A292" s="78" t="s">
        <v>1617</v>
      </c>
      <c r="B292" s="38">
        <v>1.0</v>
      </c>
      <c r="C292" s="39">
        <v>0.3993055555555556</v>
      </c>
      <c r="D292" s="40">
        <f t="array" ref="D292">IFERROR(INDIRECT("'renta'!G$"&amp;MATCH(T292,renta!$A:$A,0))*0.975-(G292*INDIRECT("'renta'!G$"&amp;MATCH(F292,renta!$A:$A,0)))/B292-IFERROR((J292*INDIRECT("'renta'!G$"&amp;MATCH(I292,renta!$A:$A,0)))/B292,0),)</f>
        <v>0.93906</v>
      </c>
      <c r="E292" s="41">
        <f t="shared" si="1"/>
        <v>0.2724090574</v>
      </c>
      <c r="F292" s="40" t="s">
        <v>27</v>
      </c>
      <c r="G292" s="43">
        <f t="shared" si="2"/>
        <v>4.218</v>
      </c>
      <c r="H292" s="44" t="s">
        <v>1618</v>
      </c>
      <c r="I292" s="79"/>
      <c r="J292" s="40">
        <f t="shared" si="23"/>
        <v>0</v>
      </c>
      <c r="K292" s="79"/>
      <c r="L292" s="38" t="s">
        <v>1619</v>
      </c>
      <c r="M292" s="46">
        <v>5.0</v>
      </c>
      <c r="N292" s="46">
        <v>100.0</v>
      </c>
      <c r="O292" s="42" t="s">
        <v>30</v>
      </c>
      <c r="P292" s="46">
        <v>20.0</v>
      </c>
      <c r="Q292" s="113">
        <f t="shared" si="27"/>
        <v>62</v>
      </c>
      <c r="R292" s="47">
        <f t="array" ref="R292">INDIRECT("'renta'!G$"&amp;MATCH(O292,renta!$A:$A,0))*P292</f>
        <v>740</v>
      </c>
      <c r="S292" s="48">
        <f t="shared" si="26"/>
        <v>2294.0041</v>
      </c>
      <c r="T292" s="49" t="str">
        <f t="shared" si="25"/>
        <v>STEEL</v>
      </c>
      <c r="U292" s="50">
        <f t="shared" si="5"/>
        <v>0.1907568572</v>
      </c>
      <c r="V292" s="80">
        <v>5.0</v>
      </c>
      <c r="W292" s="52">
        <f t="shared" si="6"/>
        <v>0.187812</v>
      </c>
      <c r="X292" s="52">
        <f t="shared" si="28"/>
        <v>12.8327027</v>
      </c>
      <c r="Y292" s="80">
        <v>0.0</v>
      </c>
      <c r="Z292" s="39">
        <v>-0.010416666666666666</v>
      </c>
      <c r="AA292" s="81" t="s">
        <v>1620</v>
      </c>
      <c r="AB292" s="114">
        <v>46337.0</v>
      </c>
      <c r="AC292" s="54" t="s">
        <v>1621</v>
      </c>
      <c r="AD292" s="50"/>
      <c r="AE292" s="83"/>
      <c r="AF292" s="40" t="s">
        <v>806</v>
      </c>
      <c r="AG292" s="40" t="s">
        <v>1622</v>
      </c>
      <c r="AH292" s="87">
        <v>20.0</v>
      </c>
      <c r="AI292" s="38">
        <v>0.39</v>
      </c>
    </row>
    <row r="293">
      <c r="A293" s="58" t="s">
        <v>31</v>
      </c>
      <c r="B293" s="59">
        <v>1.0</v>
      </c>
      <c r="C293" s="60">
        <v>0.3888888888888889</v>
      </c>
      <c r="D293" s="61">
        <f t="array" ref="D293">IFERROR(INDIRECT("'renta'!G$"&amp;MATCH(T293,renta!$A:$A,0))*0.975-(G293*INDIRECT("'renta'!G$"&amp;MATCH(F293,renta!$A:$A,0)))/B293-IFERROR((J293*INDIRECT("'renta'!G$"&amp;MATCH(I293,renta!$A:$A,0)))/B293,0),)</f>
        <v>1.41387</v>
      </c>
      <c r="E293" s="41">
        <f t="shared" si="1"/>
        <v>0.4211312786</v>
      </c>
      <c r="F293" s="61" t="s">
        <v>27</v>
      </c>
      <c r="G293" s="62">
        <f t="shared" si="2"/>
        <v>4.161</v>
      </c>
      <c r="H293" s="63" t="s">
        <v>1623</v>
      </c>
      <c r="I293" s="64"/>
      <c r="J293" s="61">
        <f t="shared" si="23"/>
        <v>0</v>
      </c>
      <c r="K293" s="64"/>
      <c r="L293" s="59" t="s">
        <v>1624</v>
      </c>
      <c r="M293" s="65">
        <v>5.0</v>
      </c>
      <c r="N293" s="65">
        <v>100.0</v>
      </c>
      <c r="O293" s="66" t="s">
        <v>30</v>
      </c>
      <c r="P293" s="65">
        <v>26.0</v>
      </c>
      <c r="Q293" s="112">
        <f t="shared" si="27"/>
        <v>88</v>
      </c>
      <c r="R293" s="67">
        <f t="array" ref="R293">INDIRECT("'renta'!G$"&amp;MATCH(O293,renta!$A:$A,0))*P293</f>
        <v>962</v>
      </c>
      <c r="S293" s="68">
        <f t="shared" si="26"/>
        <v>3256.0041</v>
      </c>
      <c r="T293" s="69" t="str">
        <f t="shared" si="25"/>
        <v>STEEL</v>
      </c>
      <c r="U293" s="70">
        <f t="shared" si="5"/>
        <v>0.1545969035</v>
      </c>
      <c r="V293" s="71">
        <v>5.0</v>
      </c>
      <c r="W293" s="72">
        <f t="shared" si="6"/>
        <v>0.282774</v>
      </c>
      <c r="X293" s="72">
        <f t="shared" si="28"/>
        <v>9.871309771</v>
      </c>
      <c r="Y293" s="71">
        <v>0.0</v>
      </c>
      <c r="Z293" s="60">
        <v>-0.010416666666666666</v>
      </c>
      <c r="AA293" s="85" t="s">
        <v>1625</v>
      </c>
      <c r="AB293" s="74" t="s">
        <v>1626</v>
      </c>
      <c r="AC293" s="75" t="s">
        <v>1627</v>
      </c>
      <c r="AD293" s="70"/>
      <c r="AE293" s="76"/>
      <c r="AF293" s="61" t="s">
        <v>806</v>
      </c>
      <c r="AG293" s="61" t="s">
        <v>1628</v>
      </c>
      <c r="AH293" s="86">
        <v>20.0</v>
      </c>
      <c r="AI293" s="59">
        <v>0.39</v>
      </c>
    </row>
    <row r="294">
      <c r="A294" s="78" t="s">
        <v>1629</v>
      </c>
      <c r="B294" s="38">
        <v>1.0</v>
      </c>
      <c r="C294" s="39">
        <v>0.3819444444444444</v>
      </c>
      <c r="D294" s="40">
        <f t="array" ref="D294">IFERROR(INDIRECT("'renta'!G$"&amp;MATCH(T294,renta!$A:$A,0))*0.975-(G294*INDIRECT("'renta'!G$"&amp;MATCH(F294,renta!$A:$A,0)))/B294-IFERROR((J294*INDIRECT("'renta'!G$"&amp;MATCH(I294,renta!$A:$A,0)))/B294,0),)</f>
        <v>1.73041</v>
      </c>
      <c r="E294" s="41">
        <f t="shared" si="1"/>
        <v>0.52478616</v>
      </c>
      <c r="F294" s="40" t="s">
        <v>27</v>
      </c>
      <c r="G294" s="43">
        <f t="shared" si="2"/>
        <v>4.123</v>
      </c>
      <c r="H294" s="44" t="s">
        <v>1630</v>
      </c>
      <c r="I294" s="79"/>
      <c r="J294" s="40">
        <f t="shared" si="23"/>
        <v>0</v>
      </c>
      <c r="K294" s="79"/>
      <c r="L294" s="38" t="s">
        <v>1631</v>
      </c>
      <c r="M294" s="46">
        <v>5.0</v>
      </c>
      <c r="N294" s="46">
        <v>100.0</v>
      </c>
      <c r="O294" s="42" t="s">
        <v>30</v>
      </c>
      <c r="P294" s="46">
        <v>34.0</v>
      </c>
      <c r="Q294" s="113">
        <f t="shared" si="27"/>
        <v>122</v>
      </c>
      <c r="R294" s="47">
        <f t="array" ref="R294">INDIRECT("'renta'!G$"&amp;MATCH(O294,renta!$A:$A,0))*P294</f>
        <v>1258</v>
      </c>
      <c r="S294" s="48">
        <f t="shared" si="26"/>
        <v>4514.0041</v>
      </c>
      <c r="T294" s="49" t="str">
        <f t="shared" si="25"/>
        <v>STEEL</v>
      </c>
      <c r="U294" s="50">
        <f t="shared" si="5"/>
        <v>0.08239656711</v>
      </c>
      <c r="V294" s="80">
        <v>5.0</v>
      </c>
      <c r="W294" s="52">
        <f t="shared" si="6"/>
        <v>0.346082</v>
      </c>
      <c r="X294" s="52">
        <f t="shared" si="28"/>
        <v>5.032432432</v>
      </c>
      <c r="Y294" s="80">
        <v>0.0</v>
      </c>
      <c r="Z294" s="39">
        <v>-0.006944444444444444</v>
      </c>
      <c r="AA294" s="81" t="s">
        <v>1632</v>
      </c>
      <c r="AB294" s="82" t="s">
        <v>1633</v>
      </c>
      <c r="AC294" s="54" t="s">
        <v>1634</v>
      </c>
      <c r="AD294" s="50"/>
      <c r="AE294" s="83"/>
      <c r="AF294" s="40" t="s">
        <v>806</v>
      </c>
      <c r="AG294" s="40" t="s">
        <v>1635</v>
      </c>
      <c r="AH294" s="87">
        <v>20.0</v>
      </c>
      <c r="AI294" s="38">
        <v>0.39</v>
      </c>
    </row>
    <row r="295">
      <c r="A295" s="58" t="s">
        <v>1636</v>
      </c>
      <c r="B295" s="59">
        <v>1.0</v>
      </c>
      <c r="C295" s="60">
        <v>0.375</v>
      </c>
      <c r="D295" s="61">
        <f t="array" ref="D295">IFERROR(INDIRECT("'renta'!G$"&amp;MATCH(T295,renta!$A:$A,0))*0.975-(G295*INDIRECT("'renta'!G$"&amp;MATCH(F295,renta!$A:$A,0)))/B295-IFERROR((J295*INDIRECT("'renta'!G$"&amp;MATCH(I295,renta!$A:$A,0)))/B295,0),)</f>
        <v>2.126085</v>
      </c>
      <c r="E295" s="41">
        <f t="shared" si="1"/>
        <v>0.6567240333</v>
      </c>
      <c r="F295" s="61" t="s">
        <v>27</v>
      </c>
      <c r="G295" s="62">
        <f t="shared" si="2"/>
        <v>4.0755</v>
      </c>
      <c r="H295" s="63" t="s">
        <v>1637</v>
      </c>
      <c r="I295" s="64"/>
      <c r="J295" s="61">
        <f t="shared" si="23"/>
        <v>0</v>
      </c>
      <c r="K295" s="64"/>
      <c r="L295" s="59" t="s">
        <v>1638</v>
      </c>
      <c r="M295" s="65">
        <v>5.0</v>
      </c>
      <c r="N295" s="65">
        <v>100.0</v>
      </c>
      <c r="O295" s="66" t="s">
        <v>30</v>
      </c>
      <c r="P295" s="65">
        <v>44.0</v>
      </c>
      <c r="Q295" s="112">
        <f t="shared" si="27"/>
        <v>166</v>
      </c>
      <c r="R295" s="67">
        <f t="array" ref="R295">INDIRECT("'renta'!G$"&amp;MATCH(O295,renta!$A:$A,0))*P295</f>
        <v>1628</v>
      </c>
      <c r="S295" s="68">
        <f t="shared" si="26"/>
        <v>6142.0041</v>
      </c>
      <c r="T295" s="69" t="str">
        <f t="shared" si="25"/>
        <v>STEEL</v>
      </c>
      <c r="U295" s="70">
        <f t="shared" si="5"/>
        <v>0.08104291974</v>
      </c>
      <c r="V295" s="71">
        <v>5.0</v>
      </c>
      <c r="W295" s="72">
        <f t="shared" si="6"/>
        <v>0.425217</v>
      </c>
      <c r="X295" s="72">
        <f t="shared" si="28"/>
        <v>4.860872236</v>
      </c>
      <c r="Y295" s="71">
        <v>0.0</v>
      </c>
      <c r="Z295" s="60">
        <v>-0.006944444444444444</v>
      </c>
      <c r="AA295" s="85" t="s">
        <v>276</v>
      </c>
      <c r="AB295" s="74" t="s">
        <v>1639</v>
      </c>
      <c r="AC295" s="75" t="s">
        <v>1640</v>
      </c>
      <c r="AD295" s="70"/>
      <c r="AE295" s="76"/>
      <c r="AF295" s="61" t="s">
        <v>806</v>
      </c>
      <c r="AG295" s="61" t="s">
        <v>1641</v>
      </c>
      <c r="AH295" s="86">
        <v>20.0</v>
      </c>
      <c r="AI295" s="59">
        <v>0.39</v>
      </c>
    </row>
    <row r="296">
      <c r="A296" s="78" t="s">
        <v>1642</v>
      </c>
      <c r="B296" s="38">
        <v>1.0</v>
      </c>
      <c r="C296" s="39">
        <v>0.36944444444444446</v>
      </c>
      <c r="D296" s="40">
        <f t="array" ref="D296">IFERROR(INDIRECT("'renta'!G$"&amp;MATCH(T296,renta!$A:$A,0))*0.975-(G296*INDIRECT("'renta'!G$"&amp;MATCH(F296,renta!$A:$A,0)))/B296-IFERROR((J296*INDIRECT("'renta'!G$"&amp;MATCH(I296,renta!$A:$A,0)))/B296,0),)</f>
        <v>2.442625</v>
      </c>
      <c r="E296" s="41">
        <f t="shared" si="1"/>
        <v>0.7658455827</v>
      </c>
      <c r="F296" s="40" t="s">
        <v>27</v>
      </c>
      <c r="G296" s="43">
        <f t="shared" si="2"/>
        <v>4.0375</v>
      </c>
      <c r="H296" s="44" t="s">
        <v>1643</v>
      </c>
      <c r="I296" s="79"/>
      <c r="J296" s="40">
        <f t="shared" si="23"/>
        <v>0</v>
      </c>
      <c r="K296" s="79"/>
      <c r="L296" s="38" t="s">
        <v>1644</v>
      </c>
      <c r="M296" s="46">
        <v>5.0</v>
      </c>
      <c r="N296" s="46">
        <v>100.0</v>
      </c>
      <c r="O296" s="42" t="s">
        <v>30</v>
      </c>
      <c r="P296" s="46">
        <v>56.0</v>
      </c>
      <c r="Q296" s="113">
        <f t="shared" si="27"/>
        <v>222</v>
      </c>
      <c r="R296" s="47">
        <f t="array" ref="R296">INDIRECT("'renta'!G$"&amp;MATCH(O296,renta!$A:$A,0))*P296</f>
        <v>2072</v>
      </c>
      <c r="S296" s="48">
        <f t="shared" si="26"/>
        <v>8214.0041</v>
      </c>
      <c r="T296" s="49" t="str">
        <f t="shared" si="25"/>
        <v>STEEL</v>
      </c>
      <c r="U296" s="50">
        <f t="shared" si="5"/>
        <v>0.05266484043</v>
      </c>
      <c r="V296" s="80">
        <v>5.0</v>
      </c>
      <c r="W296" s="52">
        <f t="shared" si="6"/>
        <v>0.488525</v>
      </c>
      <c r="X296" s="52">
        <f t="shared" si="28"/>
        <v>3.055405405</v>
      </c>
      <c r="Y296" s="80">
        <v>0.0</v>
      </c>
      <c r="Z296" s="39">
        <v>-0.005555555555555556</v>
      </c>
      <c r="AA296" s="81" t="s">
        <v>503</v>
      </c>
      <c r="AB296" s="82" t="s">
        <v>1645</v>
      </c>
      <c r="AC296" s="54" t="s">
        <v>1646</v>
      </c>
      <c r="AD296" s="50"/>
      <c r="AE296" s="83"/>
      <c r="AF296" s="40" t="s">
        <v>806</v>
      </c>
      <c r="AG296" s="40" t="s">
        <v>1647</v>
      </c>
      <c r="AH296" s="87">
        <v>20.0</v>
      </c>
      <c r="AI296" s="38">
        <v>0.39</v>
      </c>
    </row>
    <row r="297">
      <c r="A297" s="58" t="s">
        <v>1648</v>
      </c>
      <c r="B297" s="59">
        <v>1.0</v>
      </c>
      <c r="C297" s="60">
        <v>0.3645833333333333</v>
      </c>
      <c r="D297" s="61">
        <f t="array" ref="D297">IFERROR(INDIRECT("'renta'!G$"&amp;MATCH(T297,renta!$A:$A,0))*0.975-(G297*INDIRECT("'renta'!G$"&amp;MATCH(F297,renta!$A:$A,0)))/B297-IFERROR((J297*INDIRECT("'renta'!G$"&amp;MATCH(I297,renta!$A:$A,0)))/B297,0),)</f>
        <v>2.68003</v>
      </c>
      <c r="E297" s="41">
        <f t="shared" si="1"/>
        <v>0.8514838171</v>
      </c>
      <c r="F297" s="61" t="s">
        <v>27</v>
      </c>
      <c r="G297" s="62">
        <f t="shared" si="2"/>
        <v>4.009</v>
      </c>
      <c r="H297" s="63" t="s">
        <v>1649</v>
      </c>
      <c r="I297" s="64"/>
      <c r="J297" s="61">
        <f t="shared" si="23"/>
        <v>0</v>
      </c>
      <c r="K297" s="64"/>
      <c r="L297" s="59" t="s">
        <v>1650</v>
      </c>
      <c r="M297" s="65">
        <v>5.0</v>
      </c>
      <c r="N297" s="65">
        <v>100.0</v>
      </c>
      <c r="O297" s="66" t="s">
        <v>30</v>
      </c>
      <c r="P297" s="65">
        <v>72.0</v>
      </c>
      <c r="Q297" s="112">
        <f t="shared" si="27"/>
        <v>294</v>
      </c>
      <c r="R297" s="67">
        <f t="array" ref="R297">INDIRECT("'renta'!G$"&amp;MATCH(O297,renta!$A:$A,0))*P297</f>
        <v>2664</v>
      </c>
      <c r="S297" s="68">
        <f t="shared" si="26"/>
        <v>10878.0041</v>
      </c>
      <c r="T297" s="69" t="str">
        <f t="shared" si="25"/>
        <v>STEEL</v>
      </c>
      <c r="U297" s="70">
        <f t="shared" si="5"/>
        <v>0.0321464844</v>
      </c>
      <c r="V297" s="71">
        <v>5.0</v>
      </c>
      <c r="W297" s="72">
        <f t="shared" si="6"/>
        <v>0.536006</v>
      </c>
      <c r="X297" s="72">
        <f t="shared" si="28"/>
        <v>1.78231982</v>
      </c>
      <c r="Y297" s="71">
        <v>0.0</v>
      </c>
      <c r="Z297" s="60">
        <v>-0.004861111111111111</v>
      </c>
      <c r="AA297" s="85" t="s">
        <v>316</v>
      </c>
      <c r="AB297" s="74" t="s">
        <v>1651</v>
      </c>
      <c r="AC297" s="75" t="s">
        <v>1652</v>
      </c>
      <c r="AD297" s="70"/>
      <c r="AE297" s="76"/>
      <c r="AF297" s="61" t="s">
        <v>806</v>
      </c>
      <c r="AG297" s="61" t="s">
        <v>1653</v>
      </c>
      <c r="AH297" s="86">
        <v>20.0</v>
      </c>
      <c r="AI297" s="59">
        <v>0.39</v>
      </c>
    </row>
    <row r="298">
      <c r="A298" s="78" t="s">
        <v>1654</v>
      </c>
      <c r="B298" s="38">
        <v>1.0</v>
      </c>
      <c r="C298" s="39">
        <v>0.36041666666666666</v>
      </c>
      <c r="D298" s="40">
        <f t="array" ref="D298">IFERROR(INDIRECT("'renta'!G$"&amp;MATCH(T298,renta!$A:$A,0))*0.975-(G298*INDIRECT("'renta'!G$"&amp;MATCH(F298,renta!$A:$A,0)))/B298-IFERROR((J298*INDIRECT("'renta'!G$"&amp;MATCH(I298,renta!$A:$A,0)))/B298,0),)</f>
        <v>2.99657</v>
      </c>
      <c r="E298" s="41">
        <f t="shared" si="1"/>
        <v>0.9630594913</v>
      </c>
      <c r="F298" s="40" t="s">
        <v>27</v>
      </c>
      <c r="G298" s="43">
        <f t="shared" si="2"/>
        <v>3.971</v>
      </c>
      <c r="H298" s="44" t="s">
        <v>1655</v>
      </c>
      <c r="I298" s="79"/>
      <c r="J298" s="40">
        <f t="shared" si="23"/>
        <v>0</v>
      </c>
      <c r="K298" s="79"/>
      <c r="L298" s="38" t="s">
        <v>1656</v>
      </c>
      <c r="M298" s="46">
        <v>5.0</v>
      </c>
      <c r="N298" s="46">
        <v>100.0</v>
      </c>
      <c r="O298" s="42" t="s">
        <v>30</v>
      </c>
      <c r="P298" s="46">
        <v>91.0</v>
      </c>
      <c r="Q298" s="113">
        <f t="shared" si="27"/>
        <v>385</v>
      </c>
      <c r="R298" s="47">
        <f t="array" ref="R298">INDIRECT("'renta'!G$"&amp;MATCH(O298,renta!$A:$A,0))*P298</f>
        <v>3367</v>
      </c>
      <c r="S298" s="48">
        <f t="shared" si="26"/>
        <v>14245.0041</v>
      </c>
      <c r="T298" s="49" t="str">
        <f t="shared" si="25"/>
        <v>STEEL</v>
      </c>
      <c r="U298" s="50">
        <f t="shared" si="5"/>
        <v>0.03313800837</v>
      </c>
      <c r="V298" s="80">
        <v>5.0</v>
      </c>
      <c r="W298" s="52">
        <f t="shared" si="6"/>
        <v>0.599314</v>
      </c>
      <c r="X298" s="52">
        <f t="shared" si="28"/>
        <v>1.88024948</v>
      </c>
      <c r="Y298" s="80">
        <v>0.0</v>
      </c>
      <c r="Z298" s="39">
        <v>-0.004166666666666667</v>
      </c>
      <c r="AA298" s="81" t="s">
        <v>1657</v>
      </c>
      <c r="AB298" s="82" t="s">
        <v>1658</v>
      </c>
      <c r="AC298" s="54" t="s">
        <v>1659</v>
      </c>
      <c r="AD298" s="50"/>
      <c r="AE298" s="83"/>
      <c r="AF298" s="40" t="s">
        <v>806</v>
      </c>
      <c r="AG298" s="40" t="s">
        <v>1660</v>
      </c>
      <c r="AH298" s="87">
        <v>20.0</v>
      </c>
      <c r="AI298" s="38">
        <v>0.39</v>
      </c>
    </row>
    <row r="299">
      <c r="A299" s="58" t="s">
        <v>1661</v>
      </c>
      <c r="B299" s="59">
        <v>1.0</v>
      </c>
      <c r="C299" s="60">
        <v>0.35625</v>
      </c>
      <c r="D299" s="61">
        <f t="array" ref="D299">IFERROR(INDIRECT("'renta'!G$"&amp;MATCH(T299,renta!$A:$A,0))*0.975-(G299*INDIRECT("'renta'!G$"&amp;MATCH(F299,renta!$A:$A,0)))/B299-IFERROR((J299*INDIRECT("'renta'!G$"&amp;MATCH(I299,renta!$A:$A,0)))/B299,0),)</f>
        <v>3.233975</v>
      </c>
      <c r="E299" s="41">
        <f t="shared" si="1"/>
        <v>1.051514678</v>
      </c>
      <c r="F299" s="61" t="s">
        <v>27</v>
      </c>
      <c r="G299" s="62">
        <f t="shared" si="2"/>
        <v>3.9425</v>
      </c>
      <c r="H299" s="63" t="s">
        <v>1662</v>
      </c>
      <c r="I299" s="64"/>
      <c r="J299" s="61">
        <f t="shared" si="23"/>
        <v>0</v>
      </c>
      <c r="K299" s="64"/>
      <c r="L299" s="59" t="s">
        <v>1663</v>
      </c>
      <c r="M299" s="65">
        <v>5.0</v>
      </c>
      <c r="N299" s="65">
        <v>100.0</v>
      </c>
      <c r="O299" s="66" t="s">
        <v>30</v>
      </c>
      <c r="P299" s="65">
        <v>115.0</v>
      </c>
      <c r="Q299" s="112">
        <f t="shared" si="27"/>
        <v>500</v>
      </c>
      <c r="R299" s="67">
        <f t="array" ref="R299">INDIRECT("'renta'!G$"&amp;MATCH(O299,renta!$A:$A,0))*P299</f>
        <v>4255</v>
      </c>
      <c r="S299" s="68">
        <f t="shared" si="26"/>
        <v>18500.0041</v>
      </c>
      <c r="T299" s="69" t="str">
        <f t="shared" si="25"/>
        <v>STEEL</v>
      </c>
      <c r="U299" s="70">
        <f t="shared" si="5"/>
        <v>0.02078852809</v>
      </c>
      <c r="V299" s="71">
        <v>5.0</v>
      </c>
      <c r="W299" s="72">
        <f t="shared" si="6"/>
        <v>0.646795</v>
      </c>
      <c r="X299" s="72">
        <f t="shared" si="28"/>
        <v>1.115887192</v>
      </c>
      <c r="Y299" s="71">
        <v>0.0</v>
      </c>
      <c r="Z299" s="60">
        <v>-0.004166666666666667</v>
      </c>
      <c r="AA299" s="85" t="s">
        <v>527</v>
      </c>
      <c r="AB299" s="74" t="s">
        <v>1664</v>
      </c>
      <c r="AC299" s="75" t="s">
        <v>1665</v>
      </c>
      <c r="AD299" s="70"/>
      <c r="AE299" s="76"/>
      <c r="AF299" s="61" t="s">
        <v>806</v>
      </c>
      <c r="AG299" s="61" t="s">
        <v>1666</v>
      </c>
      <c r="AH299" s="86">
        <v>20.0</v>
      </c>
      <c r="AI299" s="59">
        <v>0.39</v>
      </c>
    </row>
    <row r="300">
      <c r="A300" s="78" t="s">
        <v>1667</v>
      </c>
      <c r="B300" s="38">
        <v>1.0</v>
      </c>
      <c r="C300" s="39">
        <v>0.35208333333333336</v>
      </c>
      <c r="D300" s="40">
        <f t="array" ref="D300">IFERROR(INDIRECT("'renta'!G$"&amp;MATCH(T300,renta!$A:$A,0))*0.975-(G300*INDIRECT("'renta'!G$"&amp;MATCH(F300,renta!$A:$A,0)))/B300-IFERROR((J300*INDIRECT("'renta'!G$"&amp;MATCH(I300,renta!$A:$A,0)))/B300,0),)</f>
        <v>3.47138</v>
      </c>
      <c r="E300" s="41">
        <f t="shared" si="1"/>
        <v>1.142063479</v>
      </c>
      <c r="F300" s="40" t="s">
        <v>27</v>
      </c>
      <c r="G300" s="43">
        <f t="shared" si="2"/>
        <v>3.914</v>
      </c>
      <c r="H300" s="44" t="s">
        <v>1668</v>
      </c>
      <c r="I300" s="79"/>
      <c r="J300" s="40">
        <f t="shared" si="23"/>
        <v>0</v>
      </c>
      <c r="K300" s="79"/>
      <c r="L300" s="38" t="s">
        <v>1669</v>
      </c>
      <c r="M300" s="46">
        <v>5.0</v>
      </c>
      <c r="N300" s="46">
        <v>100.0</v>
      </c>
      <c r="O300" s="42" t="s">
        <v>34</v>
      </c>
      <c r="P300" s="46">
        <v>48.0</v>
      </c>
      <c r="Q300" s="46"/>
      <c r="R300" s="47">
        <f t="array" ref="R300">INDIRECT("'renta'!G$"&amp;MATCH(O300,renta!$A:$A,0))*P300</f>
        <v>6368.743345</v>
      </c>
      <c r="S300" s="48">
        <f t="shared" si="26"/>
        <v>24868.74744</v>
      </c>
      <c r="T300" s="49" t="str">
        <f t="shared" si="25"/>
        <v>STEEL</v>
      </c>
      <c r="U300" s="50">
        <f t="shared" si="5"/>
        <v>0.01421768723</v>
      </c>
      <c r="V300" s="80">
        <v>5.0</v>
      </c>
      <c r="W300" s="52">
        <f t="shared" si="6"/>
        <v>0.694276</v>
      </c>
      <c r="X300" s="52"/>
      <c r="Y300" s="80">
        <v>0.0</v>
      </c>
      <c r="Z300" s="39">
        <v>-0.004166666666666667</v>
      </c>
      <c r="AA300" s="81" t="s">
        <v>331</v>
      </c>
      <c r="AB300" s="82" t="s">
        <v>1670</v>
      </c>
      <c r="AC300" s="54" t="s">
        <v>1671</v>
      </c>
      <c r="AD300" s="50"/>
      <c r="AE300" s="83"/>
      <c r="AF300" s="40" t="s">
        <v>806</v>
      </c>
      <c r="AG300" s="40" t="s">
        <v>1672</v>
      </c>
      <c r="AH300" s="87">
        <v>20.0</v>
      </c>
      <c r="AI300" s="38">
        <v>0.39</v>
      </c>
    </row>
    <row r="301">
      <c r="A301" s="58" t="s">
        <v>1673</v>
      </c>
      <c r="B301" s="59">
        <v>1.0</v>
      </c>
      <c r="C301" s="60">
        <v>0.3472222222222222</v>
      </c>
      <c r="D301" s="61">
        <f t="array" ref="D301">IFERROR(INDIRECT("'renta'!G$"&amp;MATCH(T301,renta!$A:$A,0))*0.975-(G301*INDIRECT("'renta'!G$"&amp;MATCH(F301,renta!$A:$A,0)))/B301-IFERROR((J301*INDIRECT("'renta'!G$"&amp;MATCH(I301,renta!$A:$A,0)))/B301,0),)</f>
        <v>3.708785</v>
      </c>
      <c r="E301" s="41">
        <f t="shared" si="1"/>
        <v>1.237250676</v>
      </c>
      <c r="F301" s="61" t="s">
        <v>27</v>
      </c>
      <c r="G301" s="62">
        <f t="shared" si="2"/>
        <v>3.8855</v>
      </c>
      <c r="H301" s="63" t="s">
        <v>1674</v>
      </c>
      <c r="I301" s="64"/>
      <c r="J301" s="61">
        <f t="shared" si="23"/>
        <v>0</v>
      </c>
      <c r="K301" s="64"/>
      <c r="L301" s="59" t="s">
        <v>1675</v>
      </c>
      <c r="M301" s="65">
        <v>5.0</v>
      </c>
      <c r="N301" s="65">
        <v>100.0</v>
      </c>
      <c r="O301" s="66" t="s">
        <v>34</v>
      </c>
      <c r="P301" s="65">
        <v>61.0</v>
      </c>
      <c r="Q301" s="65"/>
      <c r="R301" s="67">
        <f t="array" ref="R301">INDIRECT("'renta'!G$"&amp;MATCH(O301,renta!$A:$A,0))*P301</f>
        <v>8093.611334</v>
      </c>
      <c r="S301" s="68">
        <f t="shared" si="26"/>
        <v>32962.35878</v>
      </c>
      <c r="T301" s="69" t="str">
        <f t="shared" si="25"/>
        <v>STEEL</v>
      </c>
      <c r="U301" s="70">
        <f t="shared" si="5"/>
        <v>0.01176078178</v>
      </c>
      <c r="V301" s="71"/>
      <c r="W301" s="72" t="str">
        <f t="shared" si="6"/>
        <v/>
      </c>
      <c r="X301" s="72"/>
      <c r="Y301" s="71">
        <v>0.0</v>
      </c>
      <c r="Z301" s="60">
        <v>-0.004861111111111111</v>
      </c>
      <c r="AA301" s="85" t="s">
        <v>1676</v>
      </c>
      <c r="AB301" s="74" t="s">
        <v>1677</v>
      </c>
      <c r="AC301" s="75" t="s">
        <v>1678</v>
      </c>
      <c r="AD301" s="70"/>
      <c r="AE301" s="76"/>
      <c r="AF301" s="61" t="s">
        <v>806</v>
      </c>
      <c r="AG301" s="61" t="s">
        <v>1679</v>
      </c>
      <c r="AH301" s="86">
        <v>20.0</v>
      </c>
      <c r="AI301" s="59">
        <v>0.39</v>
      </c>
    </row>
    <row r="302">
      <c r="A302" s="78" t="s">
        <v>1680</v>
      </c>
      <c r="B302" s="38">
        <v>1.0</v>
      </c>
      <c r="C302" s="39">
        <v>0.34375</v>
      </c>
      <c r="D302" s="40">
        <f t="array" ref="D302">IFERROR(INDIRECT("'renta'!G$"&amp;MATCH(T302,renta!$A:$A,0))*0.975-(G302*INDIRECT("'renta'!G$"&amp;MATCH(F302,renta!$A:$A,0)))/B302-IFERROR((J302*INDIRECT("'renta'!G$"&amp;MATCH(I302,renta!$A:$A,0)))/B302,0),)</f>
        <v>3.867055</v>
      </c>
      <c r="E302" s="41">
        <f t="shared" si="1"/>
        <v>1.303080352</v>
      </c>
      <c r="F302" s="40" t="s">
        <v>27</v>
      </c>
      <c r="G302" s="43">
        <f t="shared" si="2"/>
        <v>3.8665</v>
      </c>
      <c r="H302" s="44" t="s">
        <v>1681</v>
      </c>
      <c r="I302" s="79"/>
      <c r="J302" s="40">
        <f t="shared" si="23"/>
        <v>0</v>
      </c>
      <c r="K302" s="79"/>
      <c r="L302" s="38" t="s">
        <v>1682</v>
      </c>
      <c r="M302" s="46">
        <v>5.0</v>
      </c>
      <c r="N302" s="46">
        <v>100.0</v>
      </c>
      <c r="O302" s="42" t="s">
        <v>34</v>
      </c>
      <c r="P302" s="46">
        <v>76.0</v>
      </c>
      <c r="Q302" s="46"/>
      <c r="R302" s="47">
        <f t="array" ref="R302">INDIRECT("'renta'!G$"&amp;MATCH(O302,renta!$A:$A,0))*P302</f>
        <v>10083.84363</v>
      </c>
      <c r="S302" s="48">
        <f t="shared" si="26"/>
        <v>43046.20241</v>
      </c>
      <c r="T302" s="49" t="str">
        <f t="shared" si="25"/>
        <v>STEEL</v>
      </c>
      <c r="U302" s="50">
        <f t="shared" si="5"/>
        <v>0.006528232481</v>
      </c>
      <c r="V302" s="80"/>
      <c r="W302" s="52" t="str">
        <f t="shared" si="6"/>
        <v/>
      </c>
      <c r="X302" s="52"/>
      <c r="Y302" s="80">
        <v>0.0</v>
      </c>
      <c r="Z302" s="39">
        <v>-0.003472222222222222</v>
      </c>
      <c r="AA302" s="81" t="s">
        <v>1683</v>
      </c>
      <c r="AB302" s="82" t="s">
        <v>1684</v>
      </c>
      <c r="AC302" s="54" t="s">
        <v>1685</v>
      </c>
      <c r="AD302" s="50"/>
      <c r="AE302" s="83"/>
      <c r="AF302" s="40" t="s">
        <v>806</v>
      </c>
      <c r="AG302" s="40" t="s">
        <v>1686</v>
      </c>
      <c r="AH302" s="87">
        <v>20.0</v>
      </c>
      <c r="AI302" s="38">
        <v>0.39</v>
      </c>
    </row>
    <row r="303">
      <c r="A303" s="58" t="s">
        <v>1687</v>
      </c>
      <c r="B303" s="59">
        <v>1.0</v>
      </c>
      <c r="C303" s="60">
        <v>0.3402777777777778</v>
      </c>
      <c r="D303" s="61">
        <f t="array" ref="D303">IFERROR(INDIRECT("'renta'!G$"&amp;MATCH(T303,renta!$A:$A,0))*0.975-(G303*INDIRECT("'renta'!G$"&amp;MATCH(F303,renta!$A:$A,0)))/B303-IFERROR((J303*INDIRECT("'renta'!G$"&amp;MATCH(I303,renta!$A:$A,0)))/B303,0),)</f>
        <v>4.10446</v>
      </c>
      <c r="E303" s="41">
        <f t="shared" si="1"/>
        <v>1.39719169</v>
      </c>
      <c r="F303" s="61" t="s">
        <v>27</v>
      </c>
      <c r="G303" s="62">
        <f t="shared" si="2"/>
        <v>3.838</v>
      </c>
      <c r="H303" s="63" t="s">
        <v>1688</v>
      </c>
      <c r="I303" s="64"/>
      <c r="J303" s="61">
        <f t="shared" si="23"/>
        <v>0</v>
      </c>
      <c r="K303" s="64"/>
      <c r="L303" s="59" t="s">
        <v>1689</v>
      </c>
      <c r="M303" s="65">
        <v>5.0</v>
      </c>
      <c r="N303" s="65">
        <v>100.0</v>
      </c>
      <c r="O303" s="66" t="s">
        <v>34</v>
      </c>
      <c r="P303" s="65">
        <v>96.0</v>
      </c>
      <c r="Q303" s="65"/>
      <c r="R303" s="67">
        <f t="array" ref="R303">INDIRECT("'renta'!G$"&amp;MATCH(O303,renta!$A:$A,0))*P303</f>
        <v>12737.48669</v>
      </c>
      <c r="S303" s="68">
        <f t="shared" si="26"/>
        <v>55783.6891</v>
      </c>
      <c r="T303" s="69" t="str">
        <f t="shared" si="25"/>
        <v>STEEL</v>
      </c>
      <c r="U303" s="70">
        <f t="shared" si="5"/>
        <v>0.007388532807</v>
      </c>
      <c r="V303" s="71"/>
      <c r="W303" s="72" t="str">
        <f t="shared" si="6"/>
        <v/>
      </c>
      <c r="X303" s="72"/>
      <c r="Y303" s="71">
        <v>0.0</v>
      </c>
      <c r="Z303" s="60">
        <v>-0.003472222222222222</v>
      </c>
      <c r="AA303" s="85" t="s">
        <v>1690</v>
      </c>
      <c r="AB303" s="74" t="s">
        <v>1691</v>
      </c>
      <c r="AC303" s="75" t="s">
        <v>1692</v>
      </c>
      <c r="AD303" s="70"/>
      <c r="AE303" s="76"/>
      <c r="AF303" s="61" t="s">
        <v>806</v>
      </c>
      <c r="AG303" s="61" t="s">
        <v>1693</v>
      </c>
      <c r="AH303" s="86">
        <v>20.0</v>
      </c>
      <c r="AI303" s="59">
        <v>0.39</v>
      </c>
    </row>
    <row r="304">
      <c r="A304" s="78" t="s">
        <v>1694</v>
      </c>
      <c r="B304" s="38">
        <v>1.0</v>
      </c>
      <c r="C304" s="39">
        <v>0.3368055555555556</v>
      </c>
      <c r="D304" s="40">
        <f t="array" ref="D304">IFERROR(INDIRECT("'renta'!G$"&amp;MATCH(T304,renta!$A:$A,0))*0.975-(G304*INDIRECT("'renta'!G$"&amp;MATCH(F304,renta!$A:$A,0)))/B304-IFERROR((J304*INDIRECT("'renta'!G$"&amp;MATCH(I304,renta!$A:$A,0)))/B304,0),)</f>
        <v>4.26273</v>
      </c>
      <c r="E304" s="41">
        <f t="shared" si="1"/>
        <v>1.466027555</v>
      </c>
      <c r="F304" s="40" t="s">
        <v>27</v>
      </c>
      <c r="G304" s="43">
        <f t="shared" si="2"/>
        <v>3.819</v>
      </c>
      <c r="H304" s="44" t="s">
        <v>1695</v>
      </c>
      <c r="I304" s="79"/>
      <c r="J304" s="40">
        <f t="shared" si="23"/>
        <v>0</v>
      </c>
      <c r="K304" s="79"/>
      <c r="L304" s="38" t="s">
        <v>1696</v>
      </c>
      <c r="M304" s="46">
        <v>5.0</v>
      </c>
      <c r="N304" s="46">
        <v>100.0</v>
      </c>
      <c r="O304" s="42" t="s">
        <v>34</v>
      </c>
      <c r="P304" s="46">
        <v>120.0</v>
      </c>
      <c r="Q304" s="46"/>
      <c r="R304" s="47">
        <f t="array" ref="R304">INDIRECT("'renta'!G$"&amp;MATCH(O304,renta!$A:$A,0))*P304</f>
        <v>15921.85836</v>
      </c>
      <c r="S304" s="48">
        <f t="shared" si="26"/>
        <v>71705.54746</v>
      </c>
      <c r="T304" s="49" t="str">
        <f t="shared" si="25"/>
        <v>STEEL</v>
      </c>
      <c r="U304" s="50">
        <f t="shared" si="5"/>
        <v>0.004323356186</v>
      </c>
      <c r="V304" s="80"/>
      <c r="W304" s="52" t="str">
        <f t="shared" si="6"/>
        <v/>
      </c>
      <c r="X304" s="52"/>
      <c r="Y304" s="80">
        <v>0.0</v>
      </c>
      <c r="Z304" s="39">
        <v>-0.003472222222222222</v>
      </c>
      <c r="AA304" s="81" t="s">
        <v>356</v>
      </c>
      <c r="AB304" s="82" t="s">
        <v>1697</v>
      </c>
      <c r="AC304" s="54" t="s">
        <v>1698</v>
      </c>
      <c r="AD304" s="50"/>
      <c r="AE304" s="83"/>
      <c r="AF304" s="40" t="s">
        <v>806</v>
      </c>
      <c r="AG304" s="40" t="s">
        <v>1699</v>
      </c>
      <c r="AH304" s="87">
        <v>20.0</v>
      </c>
      <c r="AI304" s="38">
        <v>0.39</v>
      </c>
    </row>
    <row r="305">
      <c r="A305" s="58" t="s">
        <v>1700</v>
      </c>
      <c r="B305" s="59">
        <v>1.0</v>
      </c>
      <c r="C305" s="60">
        <v>0.3333333333333333</v>
      </c>
      <c r="D305" s="61">
        <f t="array" ref="D305">IFERROR(INDIRECT("'renta'!G$"&amp;MATCH(T305,renta!$A:$A,0))*0.975-(G305*INDIRECT("'renta'!G$"&amp;MATCH(F305,renta!$A:$A,0)))/B305-IFERROR((J305*INDIRECT("'renta'!G$"&amp;MATCH(I305,renta!$A:$A,0)))/B305,0),)</f>
        <v>4.421</v>
      </c>
      <c r="E305" s="41">
        <f t="shared" si="1"/>
        <v>1.5362975</v>
      </c>
      <c r="F305" s="61" t="s">
        <v>27</v>
      </c>
      <c r="G305" s="62">
        <f t="shared" si="2"/>
        <v>3.8</v>
      </c>
      <c r="H305" s="63" t="s">
        <v>1244</v>
      </c>
      <c r="I305" s="64"/>
      <c r="J305" s="61">
        <f t="shared" si="23"/>
        <v>0</v>
      </c>
      <c r="K305" s="64"/>
      <c r="L305" s="59" t="s">
        <v>1701</v>
      </c>
      <c r="M305" s="65">
        <v>5.0</v>
      </c>
      <c r="N305" s="65">
        <v>100.0</v>
      </c>
      <c r="O305" s="66" t="s">
        <v>34</v>
      </c>
      <c r="P305" s="65">
        <v>150.0</v>
      </c>
      <c r="Q305" s="65"/>
      <c r="R305" s="67">
        <f t="array" ref="R305">INDIRECT("'renta'!G$"&amp;MATCH(O305,renta!$A:$A,0))*P305</f>
        <v>19902.32295</v>
      </c>
      <c r="S305" s="68">
        <f t="shared" si="26"/>
        <v>91607.87041</v>
      </c>
      <c r="T305" s="69" t="str">
        <f t="shared" si="25"/>
        <v>STEEL</v>
      </c>
      <c r="U305" s="70">
        <f t="shared" si="5"/>
        <v>0.003530740885</v>
      </c>
      <c r="V305" s="71"/>
      <c r="W305" s="72" t="str">
        <f t="shared" si="6"/>
        <v/>
      </c>
      <c r="X305" s="72"/>
      <c r="Y305" s="71">
        <v>0.0</v>
      </c>
      <c r="Z305" s="60">
        <v>-0.003472222222222222</v>
      </c>
      <c r="AA305" s="85" t="s">
        <v>1702</v>
      </c>
      <c r="AB305" s="74" t="s">
        <v>1246</v>
      </c>
      <c r="AC305" s="75" t="s">
        <v>1703</v>
      </c>
      <c r="AD305" s="70"/>
      <c r="AE305" s="76"/>
      <c r="AF305" s="61" t="s">
        <v>806</v>
      </c>
      <c r="AG305" s="61" t="s">
        <v>1704</v>
      </c>
      <c r="AH305" s="86">
        <v>20.0</v>
      </c>
      <c r="AI305" s="59">
        <v>0.39</v>
      </c>
    </row>
    <row r="306">
      <c r="A306" s="88"/>
      <c r="B306" s="89"/>
      <c r="C306" s="90"/>
      <c r="D306" s="40" t="str">
        <f t="array" ref="D306">IFERROR(INDIRECT("'renta'!G$"&amp;MATCH(T306,renta!$A:$A,0))*0.975-(G306*INDIRECT("'renta'!G$"&amp;MATCH(F306,renta!$A:$A,0)))/B306-IFERROR((J306*INDIRECT("'renta'!G$"&amp;MATCH(I306,renta!$A:$A,0)))/B306,0),)</f>
        <v/>
      </c>
      <c r="E306" s="41">
        <f t="shared" si="1"/>
        <v>0</v>
      </c>
      <c r="F306" s="79"/>
      <c r="G306" s="43">
        <f t="shared" si="2"/>
        <v>0</v>
      </c>
      <c r="H306" s="91"/>
      <c r="I306" s="79"/>
      <c r="J306" s="40">
        <f t="shared" si="23"/>
        <v>0</v>
      </c>
      <c r="K306" s="79"/>
      <c r="L306" s="92"/>
      <c r="M306" s="93"/>
      <c r="N306" s="93"/>
      <c r="O306" s="45"/>
      <c r="P306" s="93"/>
      <c r="Q306" s="93"/>
      <c r="R306" s="47"/>
      <c r="S306" s="48"/>
      <c r="T306" s="49" t="str">
        <f t="shared" si="25"/>
        <v/>
      </c>
      <c r="U306" s="50" t="str">
        <f t="shared" si="5"/>
        <v>#DIV/0!</v>
      </c>
      <c r="V306" s="94"/>
      <c r="W306" s="52" t="str">
        <f t="shared" si="6"/>
        <v/>
      </c>
      <c r="X306" s="52"/>
      <c r="Y306" s="94"/>
      <c r="Z306" s="90"/>
      <c r="AA306" s="95"/>
      <c r="AB306" s="50"/>
      <c r="AC306" s="83"/>
      <c r="AD306" s="50"/>
      <c r="AE306" s="83"/>
      <c r="AF306" s="79"/>
      <c r="AG306" s="79"/>
      <c r="AH306" s="84"/>
      <c r="AI306" s="90"/>
    </row>
    <row r="307">
      <c r="A307" s="58" t="s">
        <v>1705</v>
      </c>
      <c r="B307" s="59">
        <v>1.0</v>
      </c>
      <c r="C307" s="60">
        <v>0.625</v>
      </c>
      <c r="D307" s="61">
        <f t="array" ref="D307">IFERROR(INDIRECT("'renta'!G$"&amp;MATCH(T307,renta!$A:$A,0))*0.975-(G307*INDIRECT("'renta'!G$"&amp;MATCH(F307,renta!$A:$A,0)))/B307-IFERROR((J307*INDIRECT("'renta'!G$"&amp;MATCH(I307,renta!$A:$A,0)))/B307,0),)</f>
        <v>0.45</v>
      </c>
      <c r="E307" s="41">
        <f t="shared" si="1"/>
        <v>0.0834</v>
      </c>
      <c r="F307" s="61" t="s">
        <v>41</v>
      </c>
      <c r="G307" s="62">
        <f t="shared" si="2"/>
        <v>2.85</v>
      </c>
      <c r="H307" s="63" t="s">
        <v>136</v>
      </c>
      <c r="I307" s="64"/>
      <c r="J307" s="61">
        <f t="shared" si="23"/>
        <v>0</v>
      </c>
      <c r="K307" s="64"/>
      <c r="L307" s="59" t="s">
        <v>137</v>
      </c>
      <c r="M307" s="65">
        <v>18.5</v>
      </c>
      <c r="N307" s="65">
        <v>135.0</v>
      </c>
      <c r="O307" s="66" t="s">
        <v>12</v>
      </c>
      <c r="P307" s="65">
        <v>1.0</v>
      </c>
      <c r="Q307" s="65"/>
      <c r="R307" s="67">
        <f t="array" ref="R307">INDIRECT("'renta'!G$"&amp;MATCH(O307,renta!$A:$A,0))*P307</f>
        <v>0.0041</v>
      </c>
      <c r="S307" s="68">
        <f t="shared" ref="S307:S326" si="29">SUM(R$307:R307)</f>
        <v>0.0041</v>
      </c>
      <c r="T307" s="69" t="str">
        <f t="shared" si="25"/>
        <v>OXYGEN</v>
      </c>
      <c r="U307" s="70">
        <f t="shared" si="5"/>
        <v>20341.46341</v>
      </c>
      <c r="V307" s="71"/>
      <c r="W307" s="72" t="str">
        <f t="shared" si="6"/>
        <v/>
      </c>
      <c r="X307" s="72"/>
      <c r="Y307" s="71">
        <v>0.0</v>
      </c>
      <c r="Z307" s="60">
        <v>0.0</v>
      </c>
      <c r="AA307" s="73">
        <v>0.0</v>
      </c>
      <c r="AB307" s="74" t="s">
        <v>1706</v>
      </c>
      <c r="AC307" s="75" t="s">
        <v>154</v>
      </c>
      <c r="AD307" s="70"/>
      <c r="AE307" s="76"/>
      <c r="AF307" s="61" t="s">
        <v>806</v>
      </c>
      <c r="AG307" s="61" t="s">
        <v>167</v>
      </c>
      <c r="AH307" s="86">
        <v>7.0</v>
      </c>
      <c r="AI307" s="59">
        <v>0.39</v>
      </c>
    </row>
    <row r="308">
      <c r="A308" s="78" t="s">
        <v>1707</v>
      </c>
      <c r="B308" s="38">
        <v>2.0</v>
      </c>
      <c r="C308" s="39">
        <v>1.0416666666666667</v>
      </c>
      <c r="D308" s="40">
        <f t="array" ref="D308">IFERROR(INDIRECT("'renta'!G$"&amp;MATCH(T308,renta!$A:$A,0))*0.975-(G308*INDIRECT("'renta'!G$"&amp;MATCH(F308,renta!$A:$A,0)))/B308-IFERROR((J308*INDIRECT("'renta'!G$"&amp;MATCH(I308,renta!$A:$A,0)))/B308,0),)</f>
        <v>2.4735</v>
      </c>
      <c r="E308" s="41">
        <f t="shared" si="1"/>
        <v>0.5501064</v>
      </c>
      <c r="F308" s="40" t="s">
        <v>41</v>
      </c>
      <c r="G308" s="43">
        <f t="shared" si="2"/>
        <v>5.643</v>
      </c>
      <c r="H308" s="44" t="s">
        <v>1708</v>
      </c>
      <c r="I308" s="79"/>
      <c r="J308" s="40">
        <f t="shared" si="23"/>
        <v>0</v>
      </c>
      <c r="K308" s="79"/>
      <c r="L308" s="38" t="s">
        <v>1250</v>
      </c>
      <c r="M308" s="46">
        <v>35.0</v>
      </c>
      <c r="N308" s="46">
        <v>135.0</v>
      </c>
      <c r="O308" s="42" t="s">
        <v>34</v>
      </c>
      <c r="P308" s="46">
        <v>3.0</v>
      </c>
      <c r="Q308" s="106" t="s">
        <v>1709</v>
      </c>
      <c r="R308" s="47">
        <f t="array" ref="R308">INDIRECT("'renta'!G$"&amp;MATCH(O308,renta!$A:$A,0))*P308</f>
        <v>398.046459</v>
      </c>
      <c r="S308" s="48">
        <f t="shared" si="29"/>
        <v>398.050559</v>
      </c>
      <c r="T308" s="49" t="str">
        <f t="shared" si="25"/>
        <v>OXYGEN</v>
      </c>
      <c r="U308" s="50">
        <f t="shared" si="5"/>
        <v>1.172492279</v>
      </c>
      <c r="V308" s="80"/>
      <c r="W308" s="52" t="str">
        <f t="shared" si="6"/>
        <v/>
      </c>
      <c r="X308" s="52"/>
      <c r="Y308" s="80">
        <v>1.0</v>
      </c>
      <c r="Z308" s="39">
        <v>0.4166666666666667</v>
      </c>
      <c r="AA308" s="53">
        <v>0.2</v>
      </c>
      <c r="AB308" s="82" t="s">
        <v>1710</v>
      </c>
      <c r="AC308" s="115">
        <v>46333.0</v>
      </c>
      <c r="AD308" s="50"/>
      <c r="AE308" s="83"/>
      <c r="AF308" s="40" t="s">
        <v>806</v>
      </c>
      <c r="AG308" s="40" t="s">
        <v>1711</v>
      </c>
      <c r="AH308" s="87">
        <v>8.0</v>
      </c>
      <c r="AI308" s="38">
        <v>0.39</v>
      </c>
    </row>
    <row r="309">
      <c r="A309" s="58" t="s">
        <v>1712</v>
      </c>
      <c r="B309" s="59">
        <v>2.0</v>
      </c>
      <c r="C309" s="60">
        <v>0.875</v>
      </c>
      <c r="D309" s="61">
        <f t="array" ref="D309">IFERROR(INDIRECT("'renta'!G$"&amp;MATCH(T309,renta!$A:$A,0))*0.975-(G309*INDIRECT("'renta'!G$"&amp;MATCH(F309,renta!$A:$A,0)))/B309-IFERROR((J309*INDIRECT("'renta'!G$"&amp;MATCH(I309,renta!$A:$A,0)))/B309,0),)</f>
        <v>4.497</v>
      </c>
      <c r="E309" s="41">
        <f t="shared" si="1"/>
        <v>1.190634286</v>
      </c>
      <c r="F309" s="61" t="s">
        <v>41</v>
      </c>
      <c r="G309" s="62">
        <f t="shared" si="2"/>
        <v>5.586</v>
      </c>
      <c r="H309" s="63" t="s">
        <v>1713</v>
      </c>
      <c r="I309" s="64"/>
      <c r="J309" s="61">
        <f t="shared" si="23"/>
        <v>0</v>
      </c>
      <c r="K309" s="64"/>
      <c r="L309" s="59" t="s">
        <v>1255</v>
      </c>
      <c r="M309" s="65">
        <v>35.0</v>
      </c>
      <c r="N309" s="65">
        <v>135.0</v>
      </c>
      <c r="O309" s="66" t="s">
        <v>34</v>
      </c>
      <c r="P309" s="65">
        <v>4.0</v>
      </c>
      <c r="Q309" s="105">
        <f t="shared" ref="Q309:Q326" si="30">SUM(P$308:P309)</f>
        <v>7</v>
      </c>
      <c r="R309" s="67">
        <f t="array" ref="R309">INDIRECT("'renta'!G$"&amp;MATCH(O309,renta!$A:$A,0))*P309</f>
        <v>530.728612</v>
      </c>
      <c r="S309" s="68">
        <f t="shared" si="29"/>
        <v>928.7791711</v>
      </c>
      <c r="T309" s="69" t="str">
        <f t="shared" si="25"/>
        <v>OXYGEN</v>
      </c>
      <c r="U309" s="70">
        <f t="shared" si="5"/>
        <v>1.206884029</v>
      </c>
      <c r="V309" s="71"/>
      <c r="W309" s="72" t="str">
        <f t="shared" si="6"/>
        <v/>
      </c>
      <c r="X309" s="72"/>
      <c r="Y309" s="71">
        <v>0.0</v>
      </c>
      <c r="Z309" s="60">
        <v>-0.16666666666666666</v>
      </c>
      <c r="AA309" s="85" t="s">
        <v>1714</v>
      </c>
      <c r="AB309" s="74" t="s">
        <v>1715</v>
      </c>
      <c r="AC309" s="75" t="s">
        <v>1716</v>
      </c>
      <c r="AD309" s="70"/>
      <c r="AE309" s="76"/>
      <c r="AF309" s="61" t="s">
        <v>806</v>
      </c>
      <c r="AG309" s="61" t="s">
        <v>1717</v>
      </c>
      <c r="AH309" s="86">
        <v>8.0</v>
      </c>
      <c r="AI309" s="59">
        <v>0.39</v>
      </c>
    </row>
    <row r="310">
      <c r="A310" s="78" t="s">
        <v>1718</v>
      </c>
      <c r="B310" s="38">
        <v>2.0</v>
      </c>
      <c r="C310" s="39">
        <v>0.75</v>
      </c>
      <c r="D310" s="40">
        <f t="array" ref="D310">IFERROR(INDIRECT("'renta'!G$"&amp;MATCH(T310,renta!$A:$A,0))*0.975-(G310*INDIRECT("'renta'!G$"&amp;MATCH(F310,renta!$A:$A,0)))/B310-IFERROR((J310*INDIRECT("'renta'!G$"&amp;MATCH(I310,renta!$A:$A,0)))/B310,0),)</f>
        <v>6.5205</v>
      </c>
      <c r="E310" s="41">
        <f t="shared" si="1"/>
        <v>2.01411</v>
      </c>
      <c r="F310" s="40" t="s">
        <v>41</v>
      </c>
      <c r="G310" s="43">
        <f t="shared" si="2"/>
        <v>5.529</v>
      </c>
      <c r="H310" s="44" t="s">
        <v>1719</v>
      </c>
      <c r="I310" s="79"/>
      <c r="J310" s="40">
        <f t="shared" si="23"/>
        <v>0</v>
      </c>
      <c r="K310" s="79"/>
      <c r="L310" s="38" t="s">
        <v>1262</v>
      </c>
      <c r="M310" s="46">
        <v>35.0</v>
      </c>
      <c r="N310" s="46">
        <v>135.0</v>
      </c>
      <c r="O310" s="42" t="s">
        <v>34</v>
      </c>
      <c r="P310" s="46">
        <v>5.0</v>
      </c>
      <c r="Q310" s="106">
        <f t="shared" si="30"/>
        <v>12</v>
      </c>
      <c r="R310" s="47">
        <f t="array" ref="R310">INDIRECT("'renta'!G$"&amp;MATCH(O310,renta!$A:$A,0))*P310</f>
        <v>663.4107651</v>
      </c>
      <c r="S310" s="48">
        <f t="shared" si="29"/>
        <v>1592.189936</v>
      </c>
      <c r="T310" s="49" t="str">
        <f t="shared" si="25"/>
        <v>OXYGEN</v>
      </c>
      <c r="U310" s="50">
        <f t="shared" si="5"/>
        <v>1.241275779</v>
      </c>
      <c r="V310" s="80"/>
      <c r="W310" s="52" t="str">
        <f t="shared" si="6"/>
        <v/>
      </c>
      <c r="X310" s="52"/>
      <c r="Y310" s="80">
        <v>0.0</v>
      </c>
      <c r="Z310" s="39">
        <v>-0.125</v>
      </c>
      <c r="AA310" s="81" t="s">
        <v>992</v>
      </c>
      <c r="AB310" s="82" t="s">
        <v>1720</v>
      </c>
      <c r="AC310" s="54" t="s">
        <v>1716</v>
      </c>
      <c r="AD310" s="50"/>
      <c r="AE310" s="83"/>
      <c r="AF310" s="40" t="s">
        <v>806</v>
      </c>
      <c r="AG310" s="40" t="s">
        <v>186</v>
      </c>
      <c r="AH310" s="87">
        <v>8.0</v>
      </c>
      <c r="AI310" s="38">
        <v>0.39</v>
      </c>
    </row>
    <row r="311">
      <c r="A311" s="58" t="s">
        <v>1721</v>
      </c>
      <c r="B311" s="59">
        <v>3.0</v>
      </c>
      <c r="C311" s="60">
        <v>1.0833333333333333</v>
      </c>
      <c r="D311" s="61">
        <f t="array" ref="D311">IFERROR(INDIRECT("'renta'!G$"&amp;MATCH(T311,renta!$A:$A,0))*0.975-(G311*INDIRECT("'renta'!G$"&amp;MATCH(F311,renta!$A:$A,0)))/B311-IFERROR((J311*INDIRECT("'renta'!G$"&amp;MATCH(I311,renta!$A:$A,0)))/B311,0),)</f>
        <v>8.094333333</v>
      </c>
      <c r="E311" s="41">
        <f t="shared" si="1"/>
        <v>2.596413077</v>
      </c>
      <c r="F311" s="61" t="s">
        <v>41</v>
      </c>
      <c r="G311" s="62">
        <f t="shared" si="2"/>
        <v>8.227</v>
      </c>
      <c r="H311" s="63" t="s">
        <v>1722</v>
      </c>
      <c r="I311" s="64"/>
      <c r="J311" s="61">
        <f t="shared" si="23"/>
        <v>0</v>
      </c>
      <c r="K311" s="64"/>
      <c r="L311" s="59" t="s">
        <v>1269</v>
      </c>
      <c r="M311" s="65">
        <v>51.0</v>
      </c>
      <c r="N311" s="65">
        <v>135.0</v>
      </c>
      <c r="O311" s="66" t="s">
        <v>34</v>
      </c>
      <c r="P311" s="65">
        <v>7.0</v>
      </c>
      <c r="Q311" s="105">
        <f t="shared" si="30"/>
        <v>19</v>
      </c>
      <c r="R311" s="67">
        <f t="array" ref="R311">INDIRECT("'renta'!G$"&amp;MATCH(O311,renta!$A:$A,0))*P311</f>
        <v>928.7750711</v>
      </c>
      <c r="S311" s="68">
        <f t="shared" si="29"/>
        <v>2520.965007</v>
      </c>
      <c r="T311" s="69" t="str">
        <f t="shared" si="25"/>
        <v>OXYGEN</v>
      </c>
      <c r="U311" s="70">
        <f t="shared" si="5"/>
        <v>0.6269581248</v>
      </c>
      <c r="V311" s="71"/>
      <c r="W311" s="72" t="str">
        <f t="shared" si="6"/>
        <v/>
      </c>
      <c r="X311" s="72"/>
      <c r="Y311" s="71">
        <v>1.0</v>
      </c>
      <c r="Z311" s="60">
        <v>0.3333333333333333</v>
      </c>
      <c r="AA311" s="85" t="s">
        <v>455</v>
      </c>
      <c r="AB311" s="74" t="s">
        <v>1723</v>
      </c>
      <c r="AC311" s="75" t="s">
        <v>1724</v>
      </c>
      <c r="AD311" s="70"/>
      <c r="AE311" s="76"/>
      <c r="AF311" s="61" t="s">
        <v>806</v>
      </c>
      <c r="AG311" s="61" t="s">
        <v>1725</v>
      </c>
      <c r="AH311" s="86">
        <v>8.0</v>
      </c>
      <c r="AI311" s="59">
        <v>0.39</v>
      </c>
    </row>
    <row r="312">
      <c r="A312" s="78" t="s">
        <v>1726</v>
      </c>
      <c r="B312" s="38">
        <v>3.0</v>
      </c>
      <c r="C312" s="39">
        <v>0.9583333333333334</v>
      </c>
      <c r="D312" s="40">
        <f t="array" ref="D312">IFERROR(INDIRECT("'renta'!G$"&amp;MATCH(T312,renta!$A:$A,0))*0.975-(G312*INDIRECT("'renta'!G$"&amp;MATCH(F312,renta!$A:$A,0)))/B312-IFERROR((J312*INDIRECT("'renta'!G$"&amp;MATCH(I312,renta!$A:$A,0)))/B312,0),)</f>
        <v>9.893</v>
      </c>
      <c r="E312" s="41">
        <f t="shared" si="1"/>
        <v>3.587287826</v>
      </c>
      <c r="F312" s="40" t="s">
        <v>41</v>
      </c>
      <c r="G312" s="43">
        <f t="shared" si="2"/>
        <v>8.151</v>
      </c>
      <c r="H312" s="44" t="s">
        <v>1727</v>
      </c>
      <c r="I312" s="79"/>
      <c r="J312" s="40">
        <f t="shared" si="23"/>
        <v>0</v>
      </c>
      <c r="K312" s="79"/>
      <c r="L312" s="38" t="s">
        <v>1275</v>
      </c>
      <c r="M312" s="46">
        <v>51.0</v>
      </c>
      <c r="N312" s="46">
        <v>135.0</v>
      </c>
      <c r="O312" s="42" t="s">
        <v>34</v>
      </c>
      <c r="P312" s="46">
        <v>9.0</v>
      </c>
      <c r="Q312" s="106">
        <f t="shared" si="30"/>
        <v>28</v>
      </c>
      <c r="R312" s="47">
        <f t="array" ref="R312">INDIRECT("'renta'!G$"&amp;MATCH(O312,renta!$A:$A,0))*P312</f>
        <v>1194.139377</v>
      </c>
      <c r="S312" s="48">
        <f t="shared" si="29"/>
        <v>3715.104384</v>
      </c>
      <c r="T312" s="49" t="str">
        <f t="shared" si="25"/>
        <v>OXYGEN</v>
      </c>
      <c r="U312" s="50">
        <f t="shared" si="5"/>
        <v>0.829781488</v>
      </c>
      <c r="V312" s="80"/>
      <c r="W312" s="52" t="str">
        <f t="shared" si="6"/>
        <v/>
      </c>
      <c r="X312" s="52"/>
      <c r="Y312" s="80">
        <v>0.0</v>
      </c>
      <c r="Z312" s="39">
        <v>-0.125</v>
      </c>
      <c r="AA312" s="81" t="s">
        <v>1378</v>
      </c>
      <c r="AB312" s="82" t="s">
        <v>1728</v>
      </c>
      <c r="AC312" s="54" t="s">
        <v>1729</v>
      </c>
      <c r="AD312" s="50"/>
      <c r="AE312" s="83"/>
      <c r="AF312" s="40" t="s">
        <v>806</v>
      </c>
      <c r="AG312" s="40" t="s">
        <v>1730</v>
      </c>
      <c r="AH312" s="87">
        <v>8.0</v>
      </c>
      <c r="AI312" s="38">
        <v>0.39</v>
      </c>
    </row>
    <row r="313">
      <c r="A313" s="58" t="s">
        <v>1731</v>
      </c>
      <c r="B313" s="59">
        <v>3.0</v>
      </c>
      <c r="C313" s="60">
        <v>0.875</v>
      </c>
      <c r="D313" s="61">
        <f t="array" ref="D313">IFERROR(INDIRECT("'renta'!G$"&amp;MATCH(T313,renta!$A:$A,0))*0.975-(G313*INDIRECT("'renta'!G$"&amp;MATCH(F313,renta!$A:$A,0)))/B313-IFERROR((J313*INDIRECT("'renta'!G$"&amp;MATCH(I313,renta!$A:$A,0)))/B313,0),)</f>
        <v>11.46683333</v>
      </c>
      <c r="E313" s="41">
        <f t="shared" si="1"/>
        <v>4.553970952</v>
      </c>
      <c r="F313" s="61" t="s">
        <v>41</v>
      </c>
      <c r="G313" s="62">
        <f t="shared" si="2"/>
        <v>8.0845</v>
      </c>
      <c r="H313" s="63" t="s">
        <v>1732</v>
      </c>
      <c r="I313" s="64"/>
      <c r="J313" s="61">
        <f t="shared" si="23"/>
        <v>0</v>
      </c>
      <c r="K313" s="64"/>
      <c r="L313" s="59" t="s">
        <v>1282</v>
      </c>
      <c r="M313" s="65">
        <v>51.0</v>
      </c>
      <c r="N313" s="65">
        <v>135.0</v>
      </c>
      <c r="O313" s="66" t="s">
        <v>34</v>
      </c>
      <c r="P313" s="65">
        <v>11.0</v>
      </c>
      <c r="Q313" s="105">
        <f t="shared" si="30"/>
        <v>39</v>
      </c>
      <c r="R313" s="67">
        <f t="array" ref="R313">INDIRECT("'renta'!G$"&amp;MATCH(O313,renta!$A:$A,0))*P313</f>
        <v>1459.503683</v>
      </c>
      <c r="S313" s="68">
        <f t="shared" si="29"/>
        <v>5174.608067</v>
      </c>
      <c r="T313" s="69" t="str">
        <f t="shared" si="25"/>
        <v>OXYGEN</v>
      </c>
      <c r="U313" s="70">
        <f t="shared" si="5"/>
        <v>0.6623368872</v>
      </c>
      <c r="V313" s="71"/>
      <c r="W313" s="72" t="str">
        <f t="shared" si="6"/>
        <v/>
      </c>
      <c r="X313" s="72"/>
      <c r="Y313" s="71">
        <v>0.0</v>
      </c>
      <c r="Z313" s="60">
        <v>-0.08333333333333333</v>
      </c>
      <c r="AA313" s="85" t="s">
        <v>1308</v>
      </c>
      <c r="AB313" s="74" t="s">
        <v>1733</v>
      </c>
      <c r="AC313" s="75" t="s">
        <v>1246</v>
      </c>
      <c r="AD313" s="70"/>
      <c r="AE313" s="76"/>
      <c r="AF313" s="61" t="s">
        <v>806</v>
      </c>
      <c r="AG313" s="61" t="s">
        <v>1734</v>
      </c>
      <c r="AH313" s="86">
        <v>8.0</v>
      </c>
      <c r="AI313" s="59">
        <v>0.39</v>
      </c>
    </row>
    <row r="314">
      <c r="A314" s="78" t="s">
        <v>1735</v>
      </c>
      <c r="B314" s="38">
        <v>3.0</v>
      </c>
      <c r="C314" s="39">
        <v>0.8333333333333334</v>
      </c>
      <c r="D314" s="40">
        <f t="array" ref="D314">IFERROR(INDIRECT("'renta'!G$"&amp;MATCH(T314,renta!$A:$A,0))*0.975-(G314*INDIRECT("'renta'!G$"&amp;MATCH(F314,renta!$A:$A,0)))/B314-IFERROR((J314*INDIRECT("'renta'!G$"&amp;MATCH(I314,renta!$A:$A,0)))/B314,0),)</f>
        <v>13.04066667</v>
      </c>
      <c r="E314" s="41">
        <f t="shared" si="1"/>
        <v>5.437958</v>
      </c>
      <c r="F314" s="40" t="s">
        <v>41</v>
      </c>
      <c r="G314" s="43">
        <f t="shared" si="2"/>
        <v>8.018</v>
      </c>
      <c r="H314" s="44" t="s">
        <v>1736</v>
      </c>
      <c r="I314" s="79"/>
      <c r="J314" s="40">
        <f t="shared" si="23"/>
        <v>0</v>
      </c>
      <c r="K314" s="79"/>
      <c r="L314" s="38" t="s">
        <v>1288</v>
      </c>
      <c r="M314" s="46">
        <v>51.0</v>
      </c>
      <c r="N314" s="46">
        <v>135.0</v>
      </c>
      <c r="O314" s="42" t="s">
        <v>34</v>
      </c>
      <c r="P314" s="46">
        <v>13.0</v>
      </c>
      <c r="Q314" s="106">
        <f t="shared" si="30"/>
        <v>52</v>
      </c>
      <c r="R314" s="47">
        <f t="array" ref="R314">INDIRECT("'renta'!G$"&amp;MATCH(O314,renta!$A:$A,0))*P314</f>
        <v>1724.867989</v>
      </c>
      <c r="S314" s="48">
        <f t="shared" si="29"/>
        <v>6899.476057</v>
      </c>
      <c r="T314" s="49" t="str">
        <f t="shared" si="25"/>
        <v>OXYGEN</v>
      </c>
      <c r="U314" s="50">
        <f t="shared" si="5"/>
        <v>0.5124954798</v>
      </c>
      <c r="V314" s="80"/>
      <c r="W314" s="52" t="str">
        <f t="shared" si="6"/>
        <v/>
      </c>
      <c r="X314" s="52"/>
      <c r="Y314" s="80">
        <v>0.0</v>
      </c>
      <c r="Z314" s="39">
        <v>-0.041666666666666664</v>
      </c>
      <c r="AA314" s="53">
        <v>0.05</v>
      </c>
      <c r="AB314" s="82" t="s">
        <v>1737</v>
      </c>
      <c r="AC314" s="54" t="s">
        <v>1738</v>
      </c>
      <c r="AD314" s="50"/>
      <c r="AE314" s="83"/>
      <c r="AF314" s="40" t="s">
        <v>806</v>
      </c>
      <c r="AG314" s="40" t="s">
        <v>1739</v>
      </c>
      <c r="AH314" s="87">
        <v>8.0</v>
      </c>
      <c r="AI314" s="38">
        <v>0.39</v>
      </c>
    </row>
    <row r="315">
      <c r="A315" s="58" t="s">
        <v>1740</v>
      </c>
      <c r="B315" s="59">
        <v>3.0</v>
      </c>
      <c r="C315" s="60">
        <v>0.7916666666666666</v>
      </c>
      <c r="D315" s="61">
        <f t="array" ref="D315">IFERROR(INDIRECT("'renta'!G$"&amp;MATCH(T315,renta!$A:$A,0))*0.975-(G315*INDIRECT("'renta'!G$"&amp;MATCH(F315,renta!$A:$A,0)))/B315-IFERROR((J315*INDIRECT("'renta'!G$"&amp;MATCH(I315,renta!$A:$A,0)))/B315,0),)</f>
        <v>14.38966667</v>
      </c>
      <c r="E315" s="41">
        <f t="shared" si="1"/>
        <v>6.316306316</v>
      </c>
      <c r="F315" s="61" t="s">
        <v>41</v>
      </c>
      <c r="G315" s="62">
        <f t="shared" si="2"/>
        <v>7.961</v>
      </c>
      <c r="H315" s="63" t="s">
        <v>1741</v>
      </c>
      <c r="I315" s="64"/>
      <c r="J315" s="61">
        <f t="shared" si="23"/>
        <v>0</v>
      </c>
      <c r="K315" s="64"/>
      <c r="L315" s="59" t="s">
        <v>1294</v>
      </c>
      <c r="M315" s="65">
        <v>51.0</v>
      </c>
      <c r="N315" s="65">
        <v>135.0</v>
      </c>
      <c r="O315" s="66" t="s">
        <v>34</v>
      </c>
      <c r="P315" s="65">
        <v>17.0</v>
      </c>
      <c r="Q315" s="105">
        <f t="shared" si="30"/>
        <v>69</v>
      </c>
      <c r="R315" s="67">
        <f t="array" ref="R315">INDIRECT("'renta'!G$"&amp;MATCH(O315,renta!$A:$A,0))*P315</f>
        <v>2255.596601</v>
      </c>
      <c r="S315" s="68">
        <f t="shared" si="29"/>
        <v>9155.072658</v>
      </c>
      <c r="T315" s="69" t="str">
        <f t="shared" si="25"/>
        <v>OXYGEN</v>
      </c>
      <c r="U315" s="70">
        <f t="shared" si="5"/>
        <v>0.3894084232</v>
      </c>
      <c r="V315" s="71"/>
      <c r="W315" s="72" t="str">
        <f t="shared" si="6"/>
        <v/>
      </c>
      <c r="X315" s="72"/>
      <c r="Y315" s="71">
        <v>0.0</v>
      </c>
      <c r="Z315" s="60">
        <v>-0.041666666666666664</v>
      </c>
      <c r="AA315" s="85" t="s">
        <v>1030</v>
      </c>
      <c r="AB315" s="74" t="s">
        <v>1742</v>
      </c>
      <c r="AC315" s="75" t="s">
        <v>1743</v>
      </c>
      <c r="AD315" s="70"/>
      <c r="AE315" s="76"/>
      <c r="AF315" s="61" t="s">
        <v>806</v>
      </c>
      <c r="AG315" s="61" t="s">
        <v>1744</v>
      </c>
      <c r="AH315" s="86">
        <v>8.0</v>
      </c>
      <c r="AI315" s="59">
        <v>0.39</v>
      </c>
    </row>
    <row r="316">
      <c r="A316" s="78" t="s">
        <v>1745</v>
      </c>
      <c r="B316" s="38">
        <v>4.0</v>
      </c>
      <c r="C316" s="39">
        <v>1.0416666666666667</v>
      </c>
      <c r="D316" s="40">
        <f t="array" ref="D316">IFERROR(INDIRECT("'renta'!G$"&amp;MATCH(T316,renta!$A:$A,0))*0.975-(G316*INDIRECT("'renta'!G$"&amp;MATCH(F316,renta!$A:$A,0)))/B316-IFERROR((J316*INDIRECT("'renta'!G$"&amp;MATCH(I316,renta!$A:$A,0)))/B316,0),)</f>
        <v>15.794875</v>
      </c>
      <c r="E316" s="41">
        <f t="shared" si="1"/>
        <v>7.0255604</v>
      </c>
      <c r="F316" s="40" t="s">
        <v>41</v>
      </c>
      <c r="G316" s="43">
        <f t="shared" si="2"/>
        <v>10.5355</v>
      </c>
      <c r="H316" s="44" t="s">
        <v>1746</v>
      </c>
      <c r="I316" s="79"/>
      <c r="J316" s="40">
        <f t="shared" si="23"/>
        <v>0</v>
      </c>
      <c r="K316" s="79"/>
      <c r="L316" s="38" t="s">
        <v>1300</v>
      </c>
      <c r="M316" s="46">
        <v>67.4</v>
      </c>
      <c r="N316" s="46">
        <v>135.0</v>
      </c>
      <c r="O316" s="42" t="s">
        <v>34</v>
      </c>
      <c r="P316" s="46">
        <v>21.0</v>
      </c>
      <c r="Q316" s="106">
        <f t="shared" si="30"/>
        <v>90</v>
      </c>
      <c r="R316" s="47">
        <f t="array" ref="R316">INDIRECT("'renta'!G$"&amp;MATCH(O316,renta!$A:$A,0))*P316</f>
        <v>2786.325213</v>
      </c>
      <c r="S316" s="48">
        <f t="shared" si="29"/>
        <v>11941.39787</v>
      </c>
      <c r="T316" s="49" t="str">
        <f t="shared" si="25"/>
        <v>OXYGEN</v>
      </c>
      <c r="U316" s="50">
        <f t="shared" si="5"/>
        <v>0.2545482059</v>
      </c>
      <c r="V316" s="80"/>
      <c r="W316" s="52" t="str">
        <f t="shared" si="6"/>
        <v/>
      </c>
      <c r="X316" s="52"/>
      <c r="Y316" s="80">
        <v>1.0</v>
      </c>
      <c r="Z316" s="39">
        <v>0.25</v>
      </c>
      <c r="AA316" s="81" t="s">
        <v>316</v>
      </c>
      <c r="AB316" s="82" t="s">
        <v>1747</v>
      </c>
      <c r="AC316" s="54" t="s">
        <v>1748</v>
      </c>
      <c r="AD316" s="50"/>
      <c r="AE316" s="83"/>
      <c r="AF316" s="40" t="s">
        <v>806</v>
      </c>
      <c r="AG316" s="40" t="s">
        <v>1749</v>
      </c>
      <c r="AH316" s="87">
        <v>8.0</v>
      </c>
      <c r="AI316" s="38">
        <v>0.39</v>
      </c>
    </row>
    <row r="317">
      <c r="A317" s="58" t="s">
        <v>1750</v>
      </c>
      <c r="B317" s="59">
        <v>4.0</v>
      </c>
      <c r="C317" s="60">
        <v>0.9166666666666666</v>
      </c>
      <c r="D317" s="61">
        <f t="array" ref="D317">IFERROR(INDIRECT("'renta'!G$"&amp;MATCH(T317,renta!$A:$A,0))*0.975-(G317*INDIRECT("'renta'!G$"&amp;MATCH(F317,renta!$A:$A,0)))/B317-IFERROR((J317*INDIRECT("'renta'!G$"&amp;MATCH(I317,renta!$A:$A,0)))/B317,0),)</f>
        <v>17.143875</v>
      </c>
      <c r="E317" s="41">
        <f t="shared" si="1"/>
        <v>8.665449545</v>
      </c>
      <c r="F317" s="61" t="s">
        <v>41</v>
      </c>
      <c r="G317" s="62">
        <f t="shared" si="2"/>
        <v>10.4595</v>
      </c>
      <c r="H317" s="63" t="s">
        <v>1751</v>
      </c>
      <c r="I317" s="64"/>
      <c r="J317" s="61">
        <f t="shared" si="23"/>
        <v>0</v>
      </c>
      <c r="K317" s="64"/>
      <c r="L317" s="59" t="s">
        <v>1307</v>
      </c>
      <c r="M317" s="65">
        <v>67.4</v>
      </c>
      <c r="N317" s="65">
        <v>135.0</v>
      </c>
      <c r="O317" s="66" t="s">
        <v>34</v>
      </c>
      <c r="P317" s="65">
        <v>25.0</v>
      </c>
      <c r="Q317" s="105">
        <f t="shared" si="30"/>
        <v>115</v>
      </c>
      <c r="R317" s="67">
        <f t="array" ref="R317">INDIRECT("'renta'!G$"&amp;MATCH(O317,renta!$A:$A,0))*P317</f>
        <v>3317.053825</v>
      </c>
      <c r="S317" s="68">
        <f t="shared" si="29"/>
        <v>15258.4517</v>
      </c>
      <c r="T317" s="69" t="str">
        <f t="shared" si="25"/>
        <v>OXYGEN</v>
      </c>
      <c r="U317" s="70">
        <f t="shared" si="5"/>
        <v>0.4943812286</v>
      </c>
      <c r="V317" s="71"/>
      <c r="W317" s="72" t="str">
        <f t="shared" si="6"/>
        <v/>
      </c>
      <c r="X317" s="72"/>
      <c r="Y317" s="71">
        <v>0.0</v>
      </c>
      <c r="Z317" s="60">
        <v>-0.125</v>
      </c>
      <c r="AA317" s="85" t="s">
        <v>1555</v>
      </c>
      <c r="AB317" s="110">
        <v>46034.0</v>
      </c>
      <c r="AC317" s="75" t="s">
        <v>1748</v>
      </c>
      <c r="AD317" s="70"/>
      <c r="AE317" s="76"/>
      <c r="AF317" s="61" t="s">
        <v>806</v>
      </c>
      <c r="AG317" s="61" t="s">
        <v>1752</v>
      </c>
      <c r="AH317" s="86">
        <v>8.0</v>
      </c>
      <c r="AI317" s="59">
        <v>0.39</v>
      </c>
    </row>
    <row r="318">
      <c r="A318" s="78" t="s">
        <v>1753</v>
      </c>
      <c r="B318" s="38">
        <v>4.0</v>
      </c>
      <c r="C318" s="39">
        <v>0.8125</v>
      </c>
      <c r="D318" s="40">
        <f t="array" ref="D318">IFERROR(INDIRECT("'renta'!G$"&amp;MATCH(T318,renta!$A:$A,0))*0.975-(G318*INDIRECT("'renta'!G$"&amp;MATCH(F318,renta!$A:$A,0)))/B318-IFERROR((J318*INDIRECT("'renta'!G$"&amp;MATCH(I318,renta!$A:$A,0)))/B318,0),)</f>
        <v>18.32425</v>
      </c>
      <c r="E318" s="41">
        <f t="shared" si="1"/>
        <v>10.44952103</v>
      </c>
      <c r="F318" s="40" t="s">
        <v>41</v>
      </c>
      <c r="G318" s="43">
        <f t="shared" si="2"/>
        <v>10.393</v>
      </c>
      <c r="H318" s="44" t="s">
        <v>1754</v>
      </c>
      <c r="I318" s="79"/>
      <c r="J318" s="40">
        <f t="shared" si="23"/>
        <v>0</v>
      </c>
      <c r="K318" s="79"/>
      <c r="L318" s="38" t="s">
        <v>1313</v>
      </c>
      <c r="M318" s="46">
        <v>67.4</v>
      </c>
      <c r="N318" s="46">
        <v>135.0</v>
      </c>
      <c r="O318" s="42" t="s">
        <v>34</v>
      </c>
      <c r="P318" s="46">
        <v>31.0</v>
      </c>
      <c r="Q318" s="106">
        <f t="shared" si="30"/>
        <v>146</v>
      </c>
      <c r="R318" s="47">
        <f t="array" ref="R318">INDIRECT("'renta'!G$"&amp;MATCH(O318,renta!$A:$A,0))*P318</f>
        <v>4113.146743</v>
      </c>
      <c r="S318" s="48">
        <f t="shared" si="29"/>
        <v>19371.59844</v>
      </c>
      <c r="T318" s="49" t="str">
        <f t="shared" si="25"/>
        <v>OXYGEN</v>
      </c>
      <c r="U318" s="50">
        <f t="shared" si="5"/>
        <v>0.4337485608</v>
      </c>
      <c r="V318" s="80"/>
      <c r="W318" s="52" t="str">
        <f t="shared" si="6"/>
        <v/>
      </c>
      <c r="X318" s="52"/>
      <c r="Y318" s="80">
        <v>0.0</v>
      </c>
      <c r="Z318" s="39">
        <v>-0.10416666666666667</v>
      </c>
      <c r="AA318" s="81" t="s">
        <v>1560</v>
      </c>
      <c r="AB318" s="82" t="s">
        <v>1755</v>
      </c>
      <c r="AC318" s="54" t="s">
        <v>1756</v>
      </c>
      <c r="AD318" s="50"/>
      <c r="AE318" s="83"/>
      <c r="AF318" s="40" t="s">
        <v>806</v>
      </c>
      <c r="AG318" s="40" t="s">
        <v>1757</v>
      </c>
      <c r="AH318" s="87">
        <v>8.0</v>
      </c>
      <c r="AI318" s="38">
        <v>0.39</v>
      </c>
    </row>
    <row r="319">
      <c r="A319" s="58" t="s">
        <v>1758</v>
      </c>
      <c r="B319" s="59">
        <v>4.0</v>
      </c>
      <c r="C319" s="60">
        <v>0.7291666666666666</v>
      </c>
      <c r="D319" s="61">
        <f t="array" ref="D319">IFERROR(INDIRECT("'renta'!G$"&amp;MATCH(T319,renta!$A:$A,0))*0.975-(G319*INDIRECT("'renta'!G$"&amp;MATCH(F319,renta!$A:$A,0)))/B319-IFERROR((J319*INDIRECT("'renta'!G$"&amp;MATCH(I319,renta!$A:$A,0)))/B319,0),)</f>
        <v>19.504625</v>
      </c>
      <c r="E319" s="41">
        <f t="shared" si="1"/>
        <v>12.393796</v>
      </c>
      <c r="F319" s="61" t="s">
        <v>41</v>
      </c>
      <c r="G319" s="62">
        <f t="shared" si="2"/>
        <v>10.3265</v>
      </c>
      <c r="H319" s="63" t="s">
        <v>1759</v>
      </c>
      <c r="I319" s="64"/>
      <c r="J319" s="61">
        <f t="shared" si="23"/>
        <v>0</v>
      </c>
      <c r="K319" s="64"/>
      <c r="L319" s="59" t="s">
        <v>1320</v>
      </c>
      <c r="M319" s="65">
        <v>67.4</v>
      </c>
      <c r="N319" s="65">
        <v>135.0</v>
      </c>
      <c r="O319" s="66" t="s">
        <v>34</v>
      </c>
      <c r="P319" s="65">
        <v>38.0</v>
      </c>
      <c r="Q319" s="105">
        <f t="shared" si="30"/>
        <v>184</v>
      </c>
      <c r="R319" s="67">
        <f t="array" ref="R319">INDIRECT("'renta'!G$"&amp;MATCH(O319,renta!$A:$A,0))*P319</f>
        <v>5041.921814</v>
      </c>
      <c r="S319" s="68">
        <f t="shared" si="29"/>
        <v>24413.52025</v>
      </c>
      <c r="T319" s="69" t="str">
        <f t="shared" si="25"/>
        <v>OXYGEN</v>
      </c>
      <c r="U319" s="70">
        <f t="shared" si="5"/>
        <v>0.3856218017</v>
      </c>
      <c r="V319" s="71"/>
      <c r="W319" s="72" t="str">
        <f t="shared" si="6"/>
        <v/>
      </c>
      <c r="X319" s="72"/>
      <c r="Y319" s="71">
        <v>0.0</v>
      </c>
      <c r="Z319" s="60">
        <v>-0.08333333333333333</v>
      </c>
      <c r="AA319" s="85" t="s">
        <v>1567</v>
      </c>
      <c r="AB319" s="74" t="s">
        <v>1760</v>
      </c>
      <c r="AC319" s="75" t="s">
        <v>1761</v>
      </c>
      <c r="AD319" s="70"/>
      <c r="AE319" s="76"/>
      <c r="AF319" s="61" t="s">
        <v>806</v>
      </c>
      <c r="AG319" s="61" t="s">
        <v>1762</v>
      </c>
      <c r="AH319" s="86">
        <v>8.0</v>
      </c>
      <c r="AI319" s="59">
        <v>0.39</v>
      </c>
    </row>
    <row r="320">
      <c r="A320" s="78" t="s">
        <v>1763</v>
      </c>
      <c r="B320" s="38">
        <v>4.0</v>
      </c>
      <c r="C320" s="39">
        <v>0.6666666666666666</v>
      </c>
      <c r="D320" s="40">
        <f t="array" ref="D320">IFERROR(INDIRECT("'renta'!G$"&amp;MATCH(T320,renta!$A:$A,0))*0.975-(G320*INDIRECT("'renta'!G$"&amp;MATCH(F320,renta!$A:$A,0)))/B320-IFERROR((J320*INDIRECT("'renta'!G$"&amp;MATCH(I320,renta!$A:$A,0)))/B320,0),)</f>
        <v>20.685</v>
      </c>
      <c r="E320" s="41">
        <f t="shared" si="1"/>
        <v>14.376075</v>
      </c>
      <c r="F320" s="40" t="s">
        <v>41</v>
      </c>
      <c r="G320" s="43">
        <f t="shared" si="2"/>
        <v>10.26</v>
      </c>
      <c r="H320" s="44" t="s">
        <v>1764</v>
      </c>
      <c r="I320" s="79"/>
      <c r="J320" s="40">
        <f t="shared" si="23"/>
        <v>0</v>
      </c>
      <c r="K320" s="79"/>
      <c r="L320" s="38" t="s">
        <v>1327</v>
      </c>
      <c r="M320" s="46">
        <v>67.4</v>
      </c>
      <c r="N320" s="46">
        <v>135.0</v>
      </c>
      <c r="O320" s="42" t="s">
        <v>34</v>
      </c>
      <c r="P320" s="46">
        <v>47.0</v>
      </c>
      <c r="Q320" s="106">
        <f t="shared" si="30"/>
        <v>231</v>
      </c>
      <c r="R320" s="47">
        <f t="array" ref="R320">INDIRECT("'renta'!G$"&amp;MATCH(O320,renta!$A:$A,0))*P320</f>
        <v>6236.061192</v>
      </c>
      <c r="S320" s="48">
        <f t="shared" si="29"/>
        <v>30649.58145</v>
      </c>
      <c r="T320" s="49" t="str">
        <f t="shared" si="25"/>
        <v>OXYGEN</v>
      </c>
      <c r="U320" s="50">
        <f t="shared" si="5"/>
        <v>0.3178735646</v>
      </c>
      <c r="V320" s="80"/>
      <c r="W320" s="52" t="str">
        <f t="shared" si="6"/>
        <v/>
      </c>
      <c r="X320" s="52"/>
      <c r="Y320" s="80">
        <v>0.0</v>
      </c>
      <c r="Z320" s="39">
        <v>-0.0625</v>
      </c>
      <c r="AA320" s="81" t="s">
        <v>1765</v>
      </c>
      <c r="AB320" s="82" t="s">
        <v>1766</v>
      </c>
      <c r="AC320" s="54" t="s">
        <v>1767</v>
      </c>
      <c r="AD320" s="50"/>
      <c r="AE320" s="83"/>
      <c r="AF320" s="40" t="s">
        <v>806</v>
      </c>
      <c r="AG320" s="40" t="s">
        <v>1768</v>
      </c>
      <c r="AH320" s="87">
        <v>8.0</v>
      </c>
      <c r="AI320" s="38">
        <v>0.39</v>
      </c>
    </row>
    <row r="321">
      <c r="A321" s="58" t="s">
        <v>1769</v>
      </c>
      <c r="B321" s="59">
        <v>5.0</v>
      </c>
      <c r="C321" s="60">
        <v>0.7916666666666666</v>
      </c>
      <c r="D321" s="61">
        <f t="array" ref="D321">IFERROR(INDIRECT("'renta'!G$"&amp;MATCH(T321,renta!$A:$A,0))*0.975-(G321*INDIRECT("'renta'!G$"&amp;MATCH(F321,renta!$A:$A,0)))/B321-IFERROR((J321*INDIRECT("'renta'!G$"&amp;MATCH(I321,renta!$A:$A,0)))/B321,0),)</f>
        <v>21.8991</v>
      </c>
      <c r="E321" s="41">
        <f t="shared" si="1"/>
        <v>16.02092053</v>
      </c>
      <c r="F321" s="61" t="s">
        <v>41</v>
      </c>
      <c r="G321" s="62">
        <f t="shared" si="2"/>
        <v>12.7395</v>
      </c>
      <c r="H321" s="63" t="s">
        <v>1770</v>
      </c>
      <c r="I321" s="64"/>
      <c r="J321" s="61">
        <f t="shared" si="23"/>
        <v>0</v>
      </c>
      <c r="K321" s="64"/>
      <c r="L321" s="59" t="s">
        <v>1334</v>
      </c>
      <c r="M321" s="65">
        <v>83.5</v>
      </c>
      <c r="N321" s="65">
        <v>135.0</v>
      </c>
      <c r="O321" s="66" t="s">
        <v>34</v>
      </c>
      <c r="P321" s="65">
        <v>58.0</v>
      </c>
      <c r="Q321" s="105">
        <f t="shared" si="30"/>
        <v>289</v>
      </c>
      <c r="R321" s="67">
        <f t="array" ref="R321">INDIRECT("'renta'!G$"&amp;MATCH(O321,renta!$A:$A,0))*P321</f>
        <v>7695.564875</v>
      </c>
      <c r="S321" s="68">
        <f t="shared" si="29"/>
        <v>38345.14632</v>
      </c>
      <c r="T321" s="69" t="str">
        <f t="shared" si="25"/>
        <v>OXYGEN</v>
      </c>
      <c r="U321" s="109">
        <f t="shared" si="5"/>
        <v>0.2137394139</v>
      </c>
      <c r="V321" s="71">
        <v>83.5</v>
      </c>
      <c r="W321" s="72">
        <f t="shared" si="6"/>
        <v>1.311323353</v>
      </c>
      <c r="X321" s="72"/>
      <c r="Y321" s="71">
        <v>1.0</v>
      </c>
      <c r="Z321" s="60">
        <v>0.125</v>
      </c>
      <c r="AA321" s="85" t="s">
        <v>1030</v>
      </c>
      <c r="AB321" s="74" t="s">
        <v>1771</v>
      </c>
      <c r="AC321" s="75" t="s">
        <v>1772</v>
      </c>
      <c r="AD321" s="70"/>
      <c r="AE321" s="76"/>
      <c r="AF321" s="61" t="s">
        <v>806</v>
      </c>
      <c r="AG321" s="61" t="s">
        <v>1773</v>
      </c>
      <c r="AH321" s="86">
        <v>8.0</v>
      </c>
      <c r="AI321" s="59">
        <v>0.39</v>
      </c>
    </row>
    <row r="322">
      <c r="A322" s="78" t="s">
        <v>1774</v>
      </c>
      <c r="B322" s="38">
        <v>5.0</v>
      </c>
      <c r="C322" s="39">
        <v>0.6875</v>
      </c>
      <c r="D322" s="40">
        <f t="array" ref="D322">IFERROR(INDIRECT("'renta'!G$"&amp;MATCH(T322,renta!$A:$A,0))*0.975-(G322*INDIRECT("'renta'!G$"&amp;MATCH(F322,renta!$A:$A,0)))/B322-IFERROR((J322*INDIRECT("'renta'!G$"&amp;MATCH(I322,renta!$A:$A,0)))/B322,0),)</f>
        <v>22.9783</v>
      </c>
      <c r="E322" s="41">
        <f t="shared" si="1"/>
        <v>19.35747697</v>
      </c>
      <c r="F322" s="40" t="s">
        <v>41</v>
      </c>
      <c r="G322" s="43">
        <f t="shared" si="2"/>
        <v>12.6635</v>
      </c>
      <c r="H322" s="44" t="s">
        <v>1775</v>
      </c>
      <c r="I322" s="79"/>
      <c r="J322" s="40">
        <f t="shared" si="23"/>
        <v>0</v>
      </c>
      <c r="K322" s="79"/>
      <c r="L322" s="38" t="s">
        <v>1341</v>
      </c>
      <c r="M322" s="46">
        <v>83.5</v>
      </c>
      <c r="N322" s="46">
        <v>135.0</v>
      </c>
      <c r="O322" s="42" t="s">
        <v>34</v>
      </c>
      <c r="P322" s="46">
        <v>70.0</v>
      </c>
      <c r="Q322" s="106">
        <f t="shared" si="30"/>
        <v>359</v>
      </c>
      <c r="R322" s="47">
        <f t="array" ref="R322">INDIRECT("'renta'!G$"&amp;MATCH(O322,renta!$A:$A,0))*P322</f>
        <v>9287.750711</v>
      </c>
      <c r="S322" s="48">
        <f t="shared" si="29"/>
        <v>47632.89703</v>
      </c>
      <c r="T322" s="49" t="str">
        <f t="shared" si="25"/>
        <v>OXYGEN</v>
      </c>
      <c r="U322" s="50">
        <f t="shared" si="5"/>
        <v>0.3592426786</v>
      </c>
      <c r="V322" s="80">
        <v>83.5</v>
      </c>
      <c r="W322" s="52">
        <f t="shared" si="6"/>
        <v>1.375946108</v>
      </c>
      <c r="X322" s="52"/>
      <c r="Y322" s="80">
        <v>0.0</v>
      </c>
      <c r="Z322" s="39">
        <v>-0.10416666666666667</v>
      </c>
      <c r="AA322" s="81" t="s">
        <v>1776</v>
      </c>
      <c r="AB322" s="82" t="s">
        <v>1777</v>
      </c>
      <c r="AC322" s="54" t="s">
        <v>1778</v>
      </c>
      <c r="AD322" s="50"/>
      <c r="AE322" s="83"/>
      <c r="AF322" s="40" t="s">
        <v>806</v>
      </c>
      <c r="AG322" s="40" t="s">
        <v>1779</v>
      </c>
      <c r="AH322" s="87">
        <v>8.0</v>
      </c>
      <c r="AI322" s="38">
        <v>0.39</v>
      </c>
    </row>
    <row r="323">
      <c r="A323" s="58" t="s">
        <v>1780</v>
      </c>
      <c r="B323" s="59">
        <v>5.0</v>
      </c>
      <c r="C323" s="60">
        <v>0.5833333333333334</v>
      </c>
      <c r="D323" s="61">
        <f t="array" ref="D323">IFERROR(INDIRECT("'renta'!G$"&amp;MATCH(T323,renta!$A:$A,0))*0.975-(G323*INDIRECT("'renta'!G$"&amp;MATCH(F323,renta!$A:$A,0)))/B323-IFERROR((J323*INDIRECT("'renta'!G$"&amp;MATCH(I323,renta!$A:$A,0)))/B323,0),)</f>
        <v>23.9226</v>
      </c>
      <c r="E323" s="41">
        <f t="shared" si="1"/>
        <v>23.75172429</v>
      </c>
      <c r="F323" s="61" t="s">
        <v>41</v>
      </c>
      <c r="G323" s="62">
        <f t="shared" si="2"/>
        <v>12.597</v>
      </c>
      <c r="H323" s="63" t="s">
        <v>1781</v>
      </c>
      <c r="I323" s="64"/>
      <c r="J323" s="61">
        <f t="shared" si="23"/>
        <v>0</v>
      </c>
      <c r="K323" s="64"/>
      <c r="L323" s="59" t="s">
        <v>1347</v>
      </c>
      <c r="M323" s="65">
        <v>83.5</v>
      </c>
      <c r="N323" s="65">
        <v>135.0</v>
      </c>
      <c r="O323" s="66" t="s">
        <v>34</v>
      </c>
      <c r="P323" s="65">
        <v>86.0</v>
      </c>
      <c r="Q323" s="105">
        <f t="shared" si="30"/>
        <v>445</v>
      </c>
      <c r="R323" s="67">
        <f t="array" ref="R323">INDIRECT("'renta'!G$"&amp;MATCH(O323,renta!$A:$A,0))*P323</f>
        <v>11410.66516</v>
      </c>
      <c r="S323" s="68">
        <f t="shared" si="29"/>
        <v>59043.56219</v>
      </c>
      <c r="T323" s="69" t="str">
        <f t="shared" si="25"/>
        <v>OXYGEN</v>
      </c>
      <c r="U323" s="70">
        <f t="shared" si="5"/>
        <v>0.3851000143</v>
      </c>
      <c r="V323" s="71">
        <v>83.5</v>
      </c>
      <c r="W323" s="72">
        <f t="shared" si="6"/>
        <v>1.432491018</v>
      </c>
      <c r="X323" s="72"/>
      <c r="Y323" s="71">
        <v>0.0</v>
      </c>
      <c r="Z323" s="60">
        <v>-0.10416666666666667</v>
      </c>
      <c r="AA323" s="85" t="s">
        <v>1782</v>
      </c>
      <c r="AB323" s="74" t="s">
        <v>1783</v>
      </c>
      <c r="AC323" s="75" t="s">
        <v>1784</v>
      </c>
      <c r="AD323" s="70"/>
      <c r="AE323" s="76"/>
      <c r="AF323" s="61" t="s">
        <v>806</v>
      </c>
      <c r="AG323" s="61" t="s">
        <v>1785</v>
      </c>
      <c r="AH323" s="86">
        <v>8.0</v>
      </c>
      <c r="AI323" s="59">
        <v>0.39</v>
      </c>
    </row>
    <row r="324">
      <c r="A324" s="78" t="s">
        <v>1786</v>
      </c>
      <c r="B324" s="38">
        <v>5.0</v>
      </c>
      <c r="C324" s="39">
        <v>0.5</v>
      </c>
      <c r="D324" s="40">
        <f t="array" ref="D324">IFERROR(INDIRECT("'renta'!G$"&amp;MATCH(T324,renta!$A:$A,0))*0.975-(G324*INDIRECT("'renta'!G$"&amp;MATCH(F324,renta!$A:$A,0)))/B324-IFERROR((J324*INDIRECT("'renta'!G$"&amp;MATCH(I324,renta!$A:$A,0)))/B324,0),)</f>
        <v>25.0018</v>
      </c>
      <c r="E324" s="41">
        <f t="shared" si="1"/>
        <v>28.96041833</v>
      </c>
      <c r="F324" s="40" t="s">
        <v>41</v>
      </c>
      <c r="G324" s="43">
        <f t="shared" si="2"/>
        <v>12.521</v>
      </c>
      <c r="H324" s="44" t="s">
        <v>1787</v>
      </c>
      <c r="I324" s="79"/>
      <c r="J324" s="40">
        <f t="shared" si="23"/>
        <v>0</v>
      </c>
      <c r="K324" s="79"/>
      <c r="L324" s="38" t="s">
        <v>1354</v>
      </c>
      <c r="M324" s="46">
        <v>83.5</v>
      </c>
      <c r="N324" s="46">
        <v>135.0</v>
      </c>
      <c r="O324" s="42" t="s">
        <v>34</v>
      </c>
      <c r="P324" s="46">
        <v>104.0</v>
      </c>
      <c r="Q324" s="106">
        <f t="shared" si="30"/>
        <v>549</v>
      </c>
      <c r="R324" s="47">
        <f t="array" ref="R324">INDIRECT("'renta'!G$"&amp;MATCH(O324,renta!$A:$A,0))*P324</f>
        <v>13798.94391</v>
      </c>
      <c r="S324" s="48">
        <f t="shared" si="29"/>
        <v>72842.5061</v>
      </c>
      <c r="T324" s="49" t="str">
        <f t="shared" si="25"/>
        <v>OXYGEN</v>
      </c>
      <c r="U324" s="50">
        <f t="shared" si="5"/>
        <v>0.3774704847</v>
      </c>
      <c r="V324" s="80">
        <v>83.5</v>
      </c>
      <c r="W324" s="52">
        <f t="shared" si="6"/>
        <v>1.497113772</v>
      </c>
      <c r="X324" s="52"/>
      <c r="Y324" s="80">
        <v>0.0</v>
      </c>
      <c r="Z324" s="39">
        <v>-0.08333333333333333</v>
      </c>
      <c r="AA324" s="81" t="s">
        <v>992</v>
      </c>
      <c r="AB324" s="82" t="s">
        <v>1788</v>
      </c>
      <c r="AC324" s="54" t="s">
        <v>1258</v>
      </c>
      <c r="AD324" s="50"/>
      <c r="AE324" s="83"/>
      <c r="AF324" s="40" t="s">
        <v>806</v>
      </c>
      <c r="AG324" s="40" t="s">
        <v>1789</v>
      </c>
      <c r="AH324" s="87">
        <v>8.0</v>
      </c>
      <c r="AI324" s="38">
        <v>0.39</v>
      </c>
    </row>
    <row r="325">
      <c r="A325" s="58" t="s">
        <v>1790</v>
      </c>
      <c r="B325" s="59">
        <v>5.0</v>
      </c>
      <c r="C325" s="60">
        <v>0.4166666666666667</v>
      </c>
      <c r="D325" s="61">
        <f t="array" ref="D325">IFERROR(INDIRECT("'renta'!G$"&amp;MATCH(T325,renta!$A:$A,0))*0.975-(G325*INDIRECT("'renta'!G$"&amp;MATCH(F325,renta!$A:$A,0)))/B325-IFERROR((J325*INDIRECT("'renta'!G$"&amp;MATCH(I325,renta!$A:$A,0)))/B325,0),)</f>
        <v>25.9461</v>
      </c>
      <c r="E325" s="41">
        <f t="shared" si="1"/>
        <v>36.065079</v>
      </c>
      <c r="F325" s="61" t="s">
        <v>41</v>
      </c>
      <c r="G325" s="62">
        <f t="shared" si="2"/>
        <v>12.4545</v>
      </c>
      <c r="H325" s="63" t="s">
        <v>1791</v>
      </c>
      <c r="I325" s="64"/>
      <c r="J325" s="61">
        <f t="shared" si="23"/>
        <v>0</v>
      </c>
      <c r="K325" s="64"/>
      <c r="L325" s="59" t="s">
        <v>1361</v>
      </c>
      <c r="M325" s="65">
        <v>83.5</v>
      </c>
      <c r="N325" s="65">
        <v>135.0</v>
      </c>
      <c r="O325" s="66" t="s">
        <v>34</v>
      </c>
      <c r="P325" s="65">
        <v>127.0</v>
      </c>
      <c r="Q325" s="105">
        <f t="shared" si="30"/>
        <v>676</v>
      </c>
      <c r="R325" s="67">
        <f t="array" ref="R325">INDIRECT("'renta'!G$"&amp;MATCH(O325,renta!$A:$A,0))*P325</f>
        <v>16850.63343</v>
      </c>
      <c r="S325" s="68">
        <f t="shared" si="29"/>
        <v>89693.13954</v>
      </c>
      <c r="T325" s="69" t="str">
        <f t="shared" si="25"/>
        <v>OXYGEN</v>
      </c>
      <c r="U325" s="70">
        <f t="shared" si="5"/>
        <v>0.4216257327</v>
      </c>
      <c r="V325" s="71">
        <v>83.5</v>
      </c>
      <c r="W325" s="72">
        <f t="shared" si="6"/>
        <v>1.553658683</v>
      </c>
      <c r="X325" s="72"/>
      <c r="Y325" s="71">
        <v>0.0</v>
      </c>
      <c r="Z325" s="60">
        <v>-0.08333333333333333</v>
      </c>
      <c r="AA325" s="73">
        <v>0.2</v>
      </c>
      <c r="AB325" s="74" t="s">
        <v>1792</v>
      </c>
      <c r="AC325" s="75" t="s">
        <v>1393</v>
      </c>
      <c r="AD325" s="70"/>
      <c r="AE325" s="76"/>
      <c r="AF325" s="61" t="s">
        <v>806</v>
      </c>
      <c r="AG325" s="61" t="s">
        <v>1793</v>
      </c>
      <c r="AH325" s="86">
        <v>8.0</v>
      </c>
      <c r="AI325" s="59">
        <v>0.39</v>
      </c>
    </row>
    <row r="326">
      <c r="A326" s="78" t="s">
        <v>46</v>
      </c>
      <c r="B326" s="38">
        <v>6.0</v>
      </c>
      <c r="C326" s="39">
        <v>0.3333333333333333</v>
      </c>
      <c r="D326" s="40">
        <f t="array" ref="D326">IFERROR(INDIRECT("'renta'!G$"&amp;MATCH(T326,renta!$A:$A,0))*0.975-(G326*INDIRECT("'renta'!G$"&amp;MATCH(F326,renta!$A:$A,0)))/B326-IFERROR((J326*INDIRECT("'renta'!G$"&amp;MATCH(I326,renta!$A:$A,0)))/B326,0),)</f>
        <v>26.86791667</v>
      </c>
      <c r="E326" s="41">
        <f t="shared" si="1"/>
        <v>56.01960625</v>
      </c>
      <c r="F326" s="40" t="s">
        <v>41</v>
      </c>
      <c r="G326" s="43">
        <f t="shared" si="2"/>
        <v>14.8675</v>
      </c>
      <c r="H326" s="44" t="s">
        <v>1794</v>
      </c>
      <c r="I326" s="79"/>
      <c r="J326" s="40">
        <f t="shared" si="23"/>
        <v>0</v>
      </c>
      <c r="K326" s="79"/>
      <c r="L326" s="38" t="s">
        <v>1366</v>
      </c>
      <c r="M326" s="46">
        <v>99.0</v>
      </c>
      <c r="N326" s="46">
        <v>135.0</v>
      </c>
      <c r="O326" s="42" t="s">
        <v>34</v>
      </c>
      <c r="P326" s="46">
        <v>155.0</v>
      </c>
      <c r="Q326" s="106">
        <f t="shared" si="30"/>
        <v>831</v>
      </c>
      <c r="R326" s="47">
        <f t="array" ref="R326">INDIRECT("'renta'!G$"&amp;MATCH(O326,renta!$A:$A,0))*P326</f>
        <v>20565.73372</v>
      </c>
      <c r="S326" s="48">
        <f t="shared" si="29"/>
        <v>110258.8733</v>
      </c>
      <c r="T326" s="49" t="str">
        <f t="shared" si="25"/>
        <v>OXYGEN</v>
      </c>
      <c r="U326" s="50">
        <f t="shared" si="5"/>
        <v>0.9702803471</v>
      </c>
      <c r="V326" s="80">
        <v>99.0</v>
      </c>
      <c r="W326" s="52">
        <f t="shared" si="6"/>
        <v>1.628358586</v>
      </c>
      <c r="X326" s="52"/>
      <c r="Y326" s="80">
        <v>1.0</v>
      </c>
      <c r="Z326" s="39">
        <v>-0.08333333333333333</v>
      </c>
      <c r="AA326" s="53">
        <v>0.5</v>
      </c>
      <c r="AB326" s="82" t="s">
        <v>1579</v>
      </c>
      <c r="AC326" s="54" t="s">
        <v>1393</v>
      </c>
      <c r="AD326" s="50"/>
      <c r="AE326" s="83"/>
      <c r="AF326" s="40" t="s">
        <v>806</v>
      </c>
      <c r="AG326" s="40" t="s">
        <v>1795</v>
      </c>
      <c r="AH326" s="87">
        <v>8.0</v>
      </c>
      <c r="AI326" s="38">
        <v>0.39</v>
      </c>
    </row>
    <row r="327">
      <c r="A327" s="96"/>
      <c r="B327" s="97"/>
      <c r="C327" s="98"/>
      <c r="D327" s="61" t="str">
        <f t="array" ref="D327">IFERROR(INDIRECT("'renta'!G$"&amp;MATCH(T327,renta!$A:$A,0))*0.975-(G327*INDIRECT("'renta'!G$"&amp;MATCH(F327,renta!$A:$A,0)))/B327-IFERROR((J327*INDIRECT("'renta'!G$"&amp;MATCH(I327,renta!$A:$A,0)))/B327,0),)</f>
        <v/>
      </c>
      <c r="E327" s="41">
        <f t="shared" si="1"/>
        <v>0</v>
      </c>
      <c r="F327" s="64"/>
      <c r="G327" s="62">
        <f t="shared" si="2"/>
        <v>0</v>
      </c>
      <c r="H327" s="99"/>
      <c r="I327" s="64"/>
      <c r="J327" s="61">
        <f t="shared" si="23"/>
        <v>0</v>
      </c>
      <c r="K327" s="64"/>
      <c r="L327" s="100"/>
      <c r="M327" s="101"/>
      <c r="N327" s="101"/>
      <c r="O327" s="102"/>
      <c r="P327" s="101"/>
      <c r="Q327" s="101"/>
      <c r="R327" s="67"/>
      <c r="S327" s="68"/>
      <c r="T327" s="69" t="str">
        <f t="shared" si="25"/>
        <v/>
      </c>
      <c r="U327" s="70" t="str">
        <f t="shared" si="5"/>
        <v>#DIV/0!</v>
      </c>
      <c r="V327" s="103"/>
      <c r="W327" s="72" t="str">
        <f t="shared" si="6"/>
        <v/>
      </c>
      <c r="X327" s="72"/>
      <c r="Y327" s="103"/>
      <c r="Z327" s="98"/>
      <c r="AA327" s="104"/>
      <c r="AB327" s="70"/>
      <c r="AC327" s="76"/>
      <c r="AD327" s="70"/>
      <c r="AE327" s="76"/>
      <c r="AF327" s="64"/>
      <c r="AG327" s="64"/>
      <c r="AH327" s="77"/>
      <c r="AI327" s="59"/>
    </row>
    <row r="328">
      <c r="A328" s="78" t="s">
        <v>1796</v>
      </c>
      <c r="B328" s="38">
        <v>1.0</v>
      </c>
      <c r="C328" s="39">
        <v>0.75</v>
      </c>
      <c r="D328" s="40">
        <f t="array" ref="D328">IFERROR(INDIRECT("'renta'!G$"&amp;MATCH(T328,renta!$A:$A,0))*0.975-(G328*INDIRECT("'renta'!G$"&amp;MATCH(F328,renta!$A:$A,0)))/B328-IFERROR((J328*INDIRECT("'renta'!G$"&amp;MATCH(I328,renta!$A:$A,0)))/B328,0),)</f>
        <v>-86.1161986</v>
      </c>
      <c r="E328" s="41">
        <f t="shared" si="1"/>
        <v>-9.568466511</v>
      </c>
      <c r="F328" s="40" t="s">
        <v>24</v>
      </c>
      <c r="G328" s="43">
        <f t="shared" si="2"/>
        <v>171</v>
      </c>
      <c r="H328" s="44" t="s">
        <v>1215</v>
      </c>
      <c r="I328" s="40" t="s">
        <v>57</v>
      </c>
      <c r="J328" s="40">
        <f t="shared" si="23"/>
        <v>7.6</v>
      </c>
      <c r="K328" s="40">
        <v>8.0</v>
      </c>
      <c r="L328" s="38" t="s">
        <v>137</v>
      </c>
      <c r="M328" s="46">
        <v>24.7</v>
      </c>
      <c r="N328" s="46">
        <v>180.0</v>
      </c>
      <c r="O328" s="42" t="s">
        <v>12</v>
      </c>
      <c r="P328" s="46">
        <v>1.0</v>
      </c>
      <c r="Q328" s="46"/>
      <c r="R328" s="47">
        <f t="array" ref="R328">INDIRECT("'renta'!G$"&amp;MATCH(O328,renta!$A:$A,0))*P328</f>
        <v>0.0041</v>
      </c>
      <c r="S328" s="48">
        <f t="shared" ref="S328:S347" si="31">SUM(R$328:R328)</f>
        <v>0.0041</v>
      </c>
      <c r="T328" s="49" t="str">
        <f t="shared" si="25"/>
        <v>GLASS</v>
      </c>
      <c r="U328" s="50">
        <f t="shared" si="5"/>
        <v>-2333772.32</v>
      </c>
      <c r="V328" s="80"/>
      <c r="W328" s="52" t="str">
        <f t="shared" si="6"/>
        <v/>
      </c>
      <c r="X328" s="52"/>
      <c r="Y328" s="80">
        <v>0.0</v>
      </c>
      <c r="Z328" s="39">
        <v>0.0</v>
      </c>
      <c r="AA328" s="53">
        <v>0.0</v>
      </c>
      <c r="AB328" s="82" t="s">
        <v>1797</v>
      </c>
      <c r="AC328" s="54" t="s">
        <v>805</v>
      </c>
      <c r="AD328" s="82" t="s">
        <v>1729</v>
      </c>
      <c r="AE328" s="54" t="s">
        <v>1371</v>
      </c>
      <c r="AF328" s="40" t="s">
        <v>806</v>
      </c>
      <c r="AG328" s="40" t="s">
        <v>499</v>
      </c>
      <c r="AH328" s="87">
        <v>7.0</v>
      </c>
      <c r="AI328" s="39"/>
    </row>
    <row r="329">
      <c r="A329" s="58" t="s">
        <v>1798</v>
      </c>
      <c r="B329" s="59">
        <v>2.0</v>
      </c>
      <c r="C329" s="60">
        <v>1.25</v>
      </c>
      <c r="D329" s="61">
        <f t="array" ref="D329">IFERROR(INDIRECT("'renta'!G$"&amp;MATCH(T329,renta!$A:$A,0))*0.975-(G329*INDIRECT("'renta'!G$"&amp;MATCH(F329,renta!$A:$A,0)))/B329-IFERROR((J329*INDIRECT("'renta'!G$"&amp;MATCH(I329,renta!$A:$A,0)))/B329,0),)</f>
        <v>-80.68104877</v>
      </c>
      <c r="E329" s="41">
        <f t="shared" si="1"/>
        <v>-10.75747317</v>
      </c>
      <c r="F329" s="61" t="s">
        <v>24</v>
      </c>
      <c r="G329" s="62">
        <f t="shared" si="2"/>
        <v>338.447</v>
      </c>
      <c r="H329" s="63" t="s">
        <v>1799</v>
      </c>
      <c r="I329" s="61" t="s">
        <v>57</v>
      </c>
      <c r="J329" s="61">
        <f t="shared" si="23"/>
        <v>15.0385</v>
      </c>
      <c r="K329" s="61">
        <v>15.83</v>
      </c>
      <c r="L329" s="59" t="s">
        <v>1250</v>
      </c>
      <c r="M329" s="65">
        <v>46.7</v>
      </c>
      <c r="N329" s="65">
        <v>180.0</v>
      </c>
      <c r="O329" s="66" t="s">
        <v>34</v>
      </c>
      <c r="P329" s="65">
        <v>3.0</v>
      </c>
      <c r="Q329" s="65"/>
      <c r="R329" s="67">
        <f t="array" ref="R329">INDIRECT("'renta'!G$"&amp;MATCH(O329,renta!$A:$A,0))*P329</f>
        <v>398.046459</v>
      </c>
      <c r="S329" s="68">
        <f t="shared" si="31"/>
        <v>398.050559</v>
      </c>
      <c r="T329" s="69" t="str">
        <f t="shared" si="25"/>
        <v>GLASS</v>
      </c>
      <c r="U329" s="70">
        <f t="shared" si="5"/>
        <v>-2.987105226</v>
      </c>
      <c r="V329" s="71"/>
      <c r="W329" s="72" t="str">
        <f t="shared" si="6"/>
        <v/>
      </c>
      <c r="X329" s="72"/>
      <c r="Y329" s="71">
        <v>1.0</v>
      </c>
      <c r="Z329" s="60">
        <v>0.5</v>
      </c>
      <c r="AA329" s="73">
        <v>0.2</v>
      </c>
      <c r="AB329" s="74" t="s">
        <v>1800</v>
      </c>
      <c r="AC329" s="75" t="s">
        <v>842</v>
      </c>
      <c r="AD329" s="74" t="s">
        <v>1801</v>
      </c>
      <c r="AE329" s="75" t="s">
        <v>1384</v>
      </c>
      <c r="AF329" s="61" t="s">
        <v>806</v>
      </c>
      <c r="AG329" s="61" t="s">
        <v>418</v>
      </c>
      <c r="AH329" s="86">
        <v>8.0</v>
      </c>
      <c r="AI329" s="60"/>
    </row>
    <row r="330">
      <c r="A330" s="78" t="s">
        <v>1802</v>
      </c>
      <c r="B330" s="38">
        <v>2.0</v>
      </c>
      <c r="C330" s="39">
        <v>1.0625</v>
      </c>
      <c r="D330" s="40">
        <f t="array" ref="D330">IFERROR(INDIRECT("'renta'!G$"&amp;MATCH(T330,renta!$A:$A,0))*0.975-(G330*INDIRECT("'renta'!G$"&amp;MATCH(F330,renta!$A:$A,0)))/B330-IFERROR((J330*INDIRECT("'renta'!G$"&amp;MATCH(I330,renta!$A:$A,0)))/B330,0),)</f>
        <v>-75.85126753</v>
      </c>
      <c r="E330" s="41">
        <f t="shared" si="1"/>
        <v>-11.89823804</v>
      </c>
      <c r="F330" s="40" t="s">
        <v>24</v>
      </c>
      <c r="G330" s="43">
        <f t="shared" si="2"/>
        <v>335.0935</v>
      </c>
      <c r="H330" s="44" t="s">
        <v>1803</v>
      </c>
      <c r="I330" s="40" t="s">
        <v>57</v>
      </c>
      <c r="J330" s="40">
        <f t="shared" si="23"/>
        <v>14.896</v>
      </c>
      <c r="K330" s="40">
        <v>15.68</v>
      </c>
      <c r="L330" s="38" t="s">
        <v>1255</v>
      </c>
      <c r="M330" s="46">
        <v>46.7</v>
      </c>
      <c r="N330" s="46">
        <v>180.0</v>
      </c>
      <c r="O330" s="42" t="s">
        <v>34</v>
      </c>
      <c r="P330" s="46">
        <v>4.0</v>
      </c>
      <c r="Q330" s="46"/>
      <c r="R330" s="47">
        <f t="array" ref="R330">INDIRECT("'renta'!G$"&amp;MATCH(O330,renta!$A:$A,0))*P330</f>
        <v>530.728612</v>
      </c>
      <c r="S330" s="48">
        <f t="shared" si="31"/>
        <v>928.7791711</v>
      </c>
      <c r="T330" s="49" t="str">
        <f t="shared" si="25"/>
        <v>GLASS</v>
      </c>
      <c r="U330" s="50">
        <f t="shared" si="5"/>
        <v>-2.149431648</v>
      </c>
      <c r="V330" s="80"/>
      <c r="W330" s="52" t="str">
        <f t="shared" si="6"/>
        <v/>
      </c>
      <c r="X330" s="52"/>
      <c r="Y330" s="80">
        <v>0.0</v>
      </c>
      <c r="Z330" s="39">
        <v>-0.1875</v>
      </c>
      <c r="AA330" s="81" t="s">
        <v>1256</v>
      </c>
      <c r="AB330" s="82" t="s">
        <v>1804</v>
      </c>
      <c r="AC330" s="54" t="s">
        <v>848</v>
      </c>
      <c r="AD330" s="82" t="s">
        <v>1805</v>
      </c>
      <c r="AE330" s="115">
        <v>46353.0</v>
      </c>
      <c r="AF330" s="40" t="s">
        <v>806</v>
      </c>
      <c r="AG330" s="40" t="s">
        <v>1806</v>
      </c>
      <c r="AH330" s="87">
        <v>8.0</v>
      </c>
      <c r="AI330" s="39"/>
    </row>
    <row r="331">
      <c r="A331" s="58" t="s">
        <v>1807</v>
      </c>
      <c r="B331" s="59">
        <v>2.0</v>
      </c>
      <c r="C331" s="60">
        <v>0.9166666666666666</v>
      </c>
      <c r="D331" s="61">
        <f t="array" ref="D331">IFERROR(INDIRECT("'renta'!G$"&amp;MATCH(T331,renta!$A:$A,0))*0.975-(G331*INDIRECT("'renta'!G$"&amp;MATCH(F331,renta!$A:$A,0)))/B331-IFERROR((J331*INDIRECT("'renta'!G$"&amp;MATCH(I331,renta!$A:$A,0)))/B331,0),)</f>
        <v>-71.04814257</v>
      </c>
      <c r="E331" s="41">
        <f t="shared" si="1"/>
        <v>-12.9178441</v>
      </c>
      <c r="F331" s="61" t="s">
        <v>24</v>
      </c>
      <c r="G331" s="62">
        <f t="shared" si="2"/>
        <v>331.911</v>
      </c>
      <c r="H331" s="63" t="s">
        <v>1808</v>
      </c>
      <c r="I331" s="61" t="s">
        <v>57</v>
      </c>
      <c r="J331" s="61">
        <f t="shared" si="23"/>
        <v>14.7535</v>
      </c>
      <c r="K331" s="61">
        <v>15.53</v>
      </c>
      <c r="L331" s="59" t="s">
        <v>1262</v>
      </c>
      <c r="M331" s="65">
        <v>46.7</v>
      </c>
      <c r="N331" s="65">
        <v>180.0</v>
      </c>
      <c r="O331" s="66" t="s">
        <v>34</v>
      </c>
      <c r="P331" s="65">
        <v>5.0</v>
      </c>
      <c r="Q331" s="65"/>
      <c r="R331" s="67">
        <f t="array" ref="R331">INDIRECT("'renta'!G$"&amp;MATCH(O331,renta!$A:$A,0))*P331</f>
        <v>663.4107651</v>
      </c>
      <c r="S331" s="68">
        <f t="shared" si="31"/>
        <v>1592.189936</v>
      </c>
      <c r="T331" s="69" t="str">
        <f t="shared" si="25"/>
        <v>GLASS</v>
      </c>
      <c r="U331" s="70">
        <f t="shared" si="5"/>
        <v>-1.536915156</v>
      </c>
      <c r="V331" s="71"/>
      <c r="W331" s="72" t="str">
        <f t="shared" si="6"/>
        <v/>
      </c>
      <c r="X331" s="72"/>
      <c r="Y331" s="71">
        <v>0.0</v>
      </c>
      <c r="Z331" s="60">
        <v>-0.14583333333333334</v>
      </c>
      <c r="AA331" s="85" t="s">
        <v>1809</v>
      </c>
      <c r="AB331" s="74" t="s">
        <v>1810</v>
      </c>
      <c r="AC331" s="75" t="s">
        <v>859</v>
      </c>
      <c r="AD331" s="74" t="s">
        <v>1771</v>
      </c>
      <c r="AE331" s="75" t="s">
        <v>1393</v>
      </c>
      <c r="AF331" s="61" t="s">
        <v>806</v>
      </c>
      <c r="AG331" s="61" t="s">
        <v>1811</v>
      </c>
      <c r="AH331" s="86">
        <v>8.0</v>
      </c>
      <c r="AI331" s="60"/>
    </row>
    <row r="332">
      <c r="A332" s="78" t="s">
        <v>66</v>
      </c>
      <c r="B332" s="38">
        <v>3.0</v>
      </c>
      <c r="C332" s="39">
        <v>1.3125</v>
      </c>
      <c r="D332" s="40">
        <f t="array" ref="D332">IFERROR(INDIRECT("'renta'!G$"&amp;MATCH(T332,renta!$A:$A,0))*0.975-(G332*INDIRECT("'renta'!G$"&amp;MATCH(F332,renta!$A:$A,0)))/B332-IFERROR((J332*INDIRECT("'renta'!G$"&amp;MATCH(I332,renta!$A:$A,0)))/B332,0),)</f>
        <v>-66.46951434</v>
      </c>
      <c r="E332" s="41">
        <f t="shared" si="1"/>
        <v>-15.82607484</v>
      </c>
      <c r="F332" s="40" t="s">
        <v>24</v>
      </c>
      <c r="G332" s="43">
        <f t="shared" si="2"/>
        <v>493.411</v>
      </c>
      <c r="H332" s="44" t="s">
        <v>1812</v>
      </c>
      <c r="I332" s="40" t="s">
        <v>57</v>
      </c>
      <c r="J332" s="40">
        <f t="shared" si="23"/>
        <v>21.926</v>
      </c>
      <c r="K332" s="38">
        <v>23.08</v>
      </c>
      <c r="L332" s="38" t="s">
        <v>1269</v>
      </c>
      <c r="M332" s="46">
        <v>68.1</v>
      </c>
      <c r="N332" s="46">
        <v>180.0</v>
      </c>
      <c r="O332" s="42" t="s">
        <v>34</v>
      </c>
      <c r="P332" s="46">
        <v>7.0</v>
      </c>
      <c r="Q332" s="46">
        <v>19.0</v>
      </c>
      <c r="R332" s="47">
        <f t="array" ref="R332">INDIRECT("'renta'!G$"&amp;MATCH(O332,renta!$A:$A,0))*P332</f>
        <v>928.7750711</v>
      </c>
      <c r="S332" s="48">
        <f t="shared" si="31"/>
        <v>2520.965007</v>
      </c>
      <c r="T332" s="49" t="str">
        <f t="shared" si="25"/>
        <v>GLASS</v>
      </c>
      <c r="U332" s="50">
        <f t="shared" si="5"/>
        <v>-3.131254089</v>
      </c>
      <c r="V332" s="80">
        <v>68.1</v>
      </c>
      <c r="W332" s="52">
        <f t="shared" si="6"/>
        <v>-2.928172438</v>
      </c>
      <c r="X332" s="52"/>
      <c r="Y332" s="80">
        <v>1.0</v>
      </c>
      <c r="Z332" s="39">
        <v>0.3958333333333333</v>
      </c>
      <c r="AA332" s="81" t="s">
        <v>1019</v>
      </c>
      <c r="AB332" s="82" t="s">
        <v>1813</v>
      </c>
      <c r="AC332" s="54" t="s">
        <v>865</v>
      </c>
      <c r="AD332" s="82" t="s">
        <v>1814</v>
      </c>
      <c r="AE332" s="54" t="s">
        <v>1399</v>
      </c>
      <c r="AF332" s="40" t="s">
        <v>806</v>
      </c>
      <c r="AG332" s="40" t="s">
        <v>1815</v>
      </c>
      <c r="AH332" s="87">
        <v>8.0</v>
      </c>
      <c r="AI332" s="38">
        <v>0.25</v>
      </c>
    </row>
    <row r="333">
      <c r="A333" s="58" t="s">
        <v>1816</v>
      </c>
      <c r="B333" s="59">
        <v>3.0</v>
      </c>
      <c r="C333" s="60">
        <v>1.1666666666666667</v>
      </c>
      <c r="D333" s="61">
        <f t="array" ref="D333">IFERROR(INDIRECT("'renta'!G$"&amp;MATCH(T333,renta!$A:$A,0))*0.975-(G333*INDIRECT("'renta'!G$"&amp;MATCH(F333,renta!$A:$A,0)))/B333-IFERROR((J333*INDIRECT("'renta'!G$"&amp;MATCH(I333,renta!$A:$A,0)))/B333,0),)</f>
        <v>-62.19579177</v>
      </c>
      <c r="E333" s="41">
        <f t="shared" si="1"/>
        <v>-13.32766966</v>
      </c>
      <c r="F333" s="61" t="s">
        <v>24</v>
      </c>
      <c r="G333" s="62">
        <f t="shared" si="2"/>
        <v>489.1265</v>
      </c>
      <c r="H333" s="63" t="s">
        <v>1817</v>
      </c>
      <c r="I333" s="61" t="s">
        <v>57</v>
      </c>
      <c r="J333" s="61">
        <f t="shared" si="23"/>
        <v>21.736</v>
      </c>
      <c r="K333" s="61">
        <v>22.88</v>
      </c>
      <c r="L333" s="59" t="s">
        <v>1275</v>
      </c>
      <c r="M333" s="65">
        <v>68.1</v>
      </c>
      <c r="N333" s="65">
        <v>180.0</v>
      </c>
      <c r="O333" s="66" t="s">
        <v>65</v>
      </c>
      <c r="P333" s="65">
        <v>21.0</v>
      </c>
      <c r="Q333" s="65"/>
      <c r="R333" s="67">
        <f t="array" ref="R333">INDIRECT("'renta'!G$"&amp;MATCH(O333,renta!$A:$A,0))*P333</f>
        <v>9188.566978</v>
      </c>
      <c r="S333" s="68">
        <f t="shared" si="31"/>
        <v>11709.53199</v>
      </c>
      <c r="T333" s="69" t="str">
        <f t="shared" si="25"/>
        <v>GLASS</v>
      </c>
      <c r="U333" s="109">
        <f t="shared" si="5"/>
        <v>0.2719036804</v>
      </c>
      <c r="V333" s="71">
        <v>68.1</v>
      </c>
      <c r="W333" s="72">
        <f t="shared" si="6"/>
        <v>-2.739902721</v>
      </c>
      <c r="X333" s="72"/>
      <c r="Y333" s="71">
        <v>0.0</v>
      </c>
      <c r="Z333" s="60">
        <v>-0.14583333333333334</v>
      </c>
      <c r="AA333" s="85" t="s">
        <v>1276</v>
      </c>
      <c r="AB333" s="74" t="s">
        <v>1818</v>
      </c>
      <c r="AC333" s="75" t="s">
        <v>870</v>
      </c>
      <c r="AD333" s="74" t="s">
        <v>1819</v>
      </c>
      <c r="AE333" s="75" t="s">
        <v>1820</v>
      </c>
      <c r="AF333" s="61" t="s">
        <v>806</v>
      </c>
      <c r="AG333" s="61" t="s">
        <v>1821</v>
      </c>
      <c r="AH333" s="86">
        <v>8.0</v>
      </c>
      <c r="AI333" s="60"/>
    </row>
    <row r="334">
      <c r="A334" s="78" t="s">
        <v>1822</v>
      </c>
      <c r="B334" s="38">
        <v>3.0</v>
      </c>
      <c r="C334" s="39">
        <v>1.0416666666666667</v>
      </c>
      <c r="D334" s="40">
        <f t="array" ref="D334">IFERROR(INDIRECT("'renta'!G$"&amp;MATCH(T334,renta!$A:$A,0))*0.975-(G334*INDIRECT("'renta'!G$"&amp;MATCH(F334,renta!$A:$A,0)))/B334-IFERROR((J334*INDIRECT("'renta'!G$"&amp;MATCH(I334,renta!$A:$A,0)))/B334,0),)</f>
        <v>-58.33255914</v>
      </c>
      <c r="E334" s="41">
        <f t="shared" si="1"/>
        <v>-13.99981419</v>
      </c>
      <c r="F334" s="40" t="s">
        <v>24</v>
      </c>
      <c r="G334" s="43">
        <f t="shared" si="2"/>
        <v>485.108</v>
      </c>
      <c r="H334" s="44" t="s">
        <v>1823</v>
      </c>
      <c r="I334" s="40" t="s">
        <v>57</v>
      </c>
      <c r="J334" s="40">
        <f t="shared" si="23"/>
        <v>21.565</v>
      </c>
      <c r="K334" s="40">
        <v>22.7</v>
      </c>
      <c r="L334" s="38" t="s">
        <v>1282</v>
      </c>
      <c r="M334" s="46">
        <v>68.1</v>
      </c>
      <c r="N334" s="46">
        <v>180.0</v>
      </c>
      <c r="O334" s="42" t="s">
        <v>65</v>
      </c>
      <c r="P334" s="46">
        <v>27.0</v>
      </c>
      <c r="Q334" s="46"/>
      <c r="R334" s="47">
        <f t="array" ref="R334">INDIRECT("'renta'!G$"&amp;MATCH(O334,renta!$A:$A,0))*P334</f>
        <v>11813.87183</v>
      </c>
      <c r="S334" s="48">
        <f t="shared" si="31"/>
        <v>23523.40381</v>
      </c>
      <c r="T334" s="49" t="str">
        <f t="shared" si="25"/>
        <v>GLASS</v>
      </c>
      <c r="U334" s="50">
        <f t="shared" si="5"/>
        <v>-0.05689451681</v>
      </c>
      <c r="V334" s="80">
        <v>68.1</v>
      </c>
      <c r="W334" s="52">
        <f t="shared" si="6"/>
        <v>-2.569716262</v>
      </c>
      <c r="X334" s="52"/>
      <c r="Y334" s="80">
        <v>0.0</v>
      </c>
      <c r="Z334" s="39">
        <v>-0.125</v>
      </c>
      <c r="AA334" s="53">
        <v>0.12</v>
      </c>
      <c r="AB334" s="82" t="s">
        <v>1824</v>
      </c>
      <c r="AC334" s="54" t="s">
        <v>876</v>
      </c>
      <c r="AD334" s="82" t="s">
        <v>1825</v>
      </c>
      <c r="AE334" s="54" t="s">
        <v>1410</v>
      </c>
      <c r="AF334" s="40" t="s">
        <v>806</v>
      </c>
      <c r="AG334" s="40" t="s">
        <v>1749</v>
      </c>
      <c r="AH334" s="87">
        <v>8.0</v>
      </c>
      <c r="AI334" s="39"/>
    </row>
    <row r="335">
      <c r="A335" s="58" t="s">
        <v>1826</v>
      </c>
      <c r="B335" s="59">
        <v>3.0</v>
      </c>
      <c r="C335" s="60">
        <v>0.9375</v>
      </c>
      <c r="D335" s="61">
        <f t="array" ref="D335">IFERROR(INDIRECT("'renta'!G$"&amp;MATCH(T335,renta!$A:$A,0))*0.975-(G335*INDIRECT("'renta'!G$"&amp;MATCH(F335,renta!$A:$A,0)))/B335-IFERROR((J335*INDIRECT("'renta'!G$"&amp;MATCH(I335,renta!$A:$A,0)))/B335,0),)</f>
        <v>-54.4890719</v>
      </c>
      <c r="E335" s="41">
        <f t="shared" si="1"/>
        <v>-14.53041917</v>
      </c>
      <c r="F335" s="61" t="s">
        <v>24</v>
      </c>
      <c r="G335" s="62">
        <f t="shared" si="2"/>
        <v>481.2795</v>
      </c>
      <c r="H335" s="63" t="s">
        <v>1827</v>
      </c>
      <c r="I335" s="61" t="s">
        <v>57</v>
      </c>
      <c r="J335" s="61">
        <f t="shared" si="23"/>
        <v>21.394</v>
      </c>
      <c r="K335" s="61">
        <v>22.52</v>
      </c>
      <c r="L335" s="59" t="s">
        <v>1288</v>
      </c>
      <c r="M335" s="65">
        <v>68.1</v>
      </c>
      <c r="N335" s="65">
        <v>180.0</v>
      </c>
      <c r="O335" s="66" t="s">
        <v>65</v>
      </c>
      <c r="P335" s="65">
        <v>34.0</v>
      </c>
      <c r="Q335" s="65"/>
      <c r="R335" s="67">
        <f t="array" ref="R335">INDIRECT("'renta'!G$"&amp;MATCH(O335,renta!$A:$A,0))*P335</f>
        <v>14876.72749</v>
      </c>
      <c r="S335" s="68">
        <f t="shared" si="31"/>
        <v>38400.1313</v>
      </c>
      <c r="T335" s="69" t="str">
        <f t="shared" si="25"/>
        <v>GLASS</v>
      </c>
      <c r="U335" s="70">
        <f t="shared" si="5"/>
        <v>-0.03566678094</v>
      </c>
      <c r="V335" s="71">
        <v>68.1</v>
      </c>
      <c r="W335" s="72">
        <f t="shared" si="6"/>
        <v>-2.400399643</v>
      </c>
      <c r="X335" s="72"/>
      <c r="Y335" s="71">
        <v>0.0</v>
      </c>
      <c r="Z335" s="60">
        <v>-0.10416666666666667</v>
      </c>
      <c r="AA335" s="85" t="s">
        <v>627</v>
      </c>
      <c r="AB335" s="74" t="s">
        <v>1828</v>
      </c>
      <c r="AC335" s="75" t="s">
        <v>888</v>
      </c>
      <c r="AD335" s="110">
        <v>46077.0</v>
      </c>
      <c r="AE335" s="75" t="s">
        <v>1415</v>
      </c>
      <c r="AF335" s="61" t="s">
        <v>806</v>
      </c>
      <c r="AG335" s="61" t="s">
        <v>1829</v>
      </c>
      <c r="AH335" s="86">
        <v>8.0</v>
      </c>
      <c r="AI335" s="60"/>
    </row>
    <row r="336">
      <c r="A336" s="78" t="s">
        <v>1830</v>
      </c>
      <c r="B336" s="38">
        <v>3.0</v>
      </c>
      <c r="C336" s="39">
        <v>0.8541666666666666</v>
      </c>
      <c r="D336" s="40">
        <f t="array" ref="D336">IFERROR(INDIRECT("'renta'!G$"&amp;MATCH(T336,renta!$A:$A,0))*0.975-(G336*INDIRECT("'renta'!G$"&amp;MATCH(F336,renta!$A:$A,0)))/B336-IFERROR((J336*INDIRECT("'renta'!G$"&amp;MATCH(I336,renta!$A:$A,0)))/B336,0),)</f>
        <v>-50.66236824</v>
      </c>
      <c r="E336" s="41">
        <f t="shared" si="1"/>
        <v>-14.82801022</v>
      </c>
      <c r="F336" s="40" t="s">
        <v>24</v>
      </c>
      <c r="G336" s="43">
        <f t="shared" si="2"/>
        <v>477.6125</v>
      </c>
      <c r="H336" s="44" t="s">
        <v>1831</v>
      </c>
      <c r="I336" s="40" t="s">
        <v>57</v>
      </c>
      <c r="J336" s="40">
        <f t="shared" si="23"/>
        <v>21.223</v>
      </c>
      <c r="K336" s="40">
        <v>22.34</v>
      </c>
      <c r="L336" s="38" t="s">
        <v>1294</v>
      </c>
      <c r="M336" s="46">
        <v>68.1</v>
      </c>
      <c r="N336" s="46">
        <v>180.0</v>
      </c>
      <c r="O336" s="42" t="s">
        <v>65</v>
      </c>
      <c r="P336" s="46">
        <v>42.0</v>
      </c>
      <c r="Q336" s="46"/>
      <c r="R336" s="47">
        <f t="array" ref="R336">INDIRECT("'renta'!G$"&amp;MATCH(O336,renta!$A:$A,0))*P336</f>
        <v>18377.13396</v>
      </c>
      <c r="S336" s="48">
        <f t="shared" si="31"/>
        <v>56777.26526</v>
      </c>
      <c r="T336" s="49" t="str">
        <f t="shared" si="25"/>
        <v>GLASS</v>
      </c>
      <c r="U336" s="50">
        <f t="shared" si="5"/>
        <v>-0.01619355036</v>
      </c>
      <c r="V336" s="80">
        <v>68.1</v>
      </c>
      <c r="W336" s="52">
        <f t="shared" si="6"/>
        <v>-2.23182239</v>
      </c>
      <c r="X336" s="52"/>
      <c r="Y336" s="80">
        <v>0.0</v>
      </c>
      <c r="Z336" s="39">
        <v>-0.08333333333333333</v>
      </c>
      <c r="AA336" s="81" t="s">
        <v>1133</v>
      </c>
      <c r="AB336" s="82" t="s">
        <v>1832</v>
      </c>
      <c r="AC336" s="54" t="s">
        <v>894</v>
      </c>
      <c r="AD336" s="82" t="s">
        <v>1833</v>
      </c>
      <c r="AE336" s="54" t="s">
        <v>1834</v>
      </c>
      <c r="AF336" s="40" t="s">
        <v>806</v>
      </c>
      <c r="AG336" s="40" t="s">
        <v>1835</v>
      </c>
      <c r="AH336" s="87">
        <v>8.0</v>
      </c>
      <c r="AI336" s="39"/>
    </row>
    <row r="337">
      <c r="A337" s="58" t="s">
        <v>1836</v>
      </c>
      <c r="B337" s="59">
        <v>4.0</v>
      </c>
      <c r="C337" s="60">
        <v>1.1041666666666667</v>
      </c>
      <c r="D337" s="61">
        <f t="array" ref="D337">IFERROR(INDIRECT("'renta'!G$"&amp;MATCH(T337,renta!$A:$A,0))*0.975-(G337*INDIRECT("'renta'!G$"&amp;MATCH(F337,renta!$A:$A,0)))/B337-IFERROR((J337*INDIRECT("'renta'!G$"&amp;MATCH(I337,renta!$A:$A,0)))/B337,0),)</f>
        <v>-47.18867286</v>
      </c>
      <c r="E337" s="41">
        <f t="shared" si="1"/>
        <v>-14.24563709</v>
      </c>
      <c r="F337" s="61" t="s">
        <v>24</v>
      </c>
      <c r="G337" s="62">
        <f t="shared" si="2"/>
        <v>632.1585</v>
      </c>
      <c r="H337" s="63" t="s">
        <v>1837</v>
      </c>
      <c r="I337" s="61" t="s">
        <v>57</v>
      </c>
      <c r="J337" s="61">
        <f t="shared" si="23"/>
        <v>28.0915</v>
      </c>
      <c r="K337" s="61">
        <v>29.57</v>
      </c>
      <c r="L337" s="59" t="s">
        <v>1300</v>
      </c>
      <c r="M337" s="65">
        <v>90.0</v>
      </c>
      <c r="N337" s="65">
        <v>180.0</v>
      </c>
      <c r="O337" s="66" t="s">
        <v>65</v>
      </c>
      <c r="P337" s="65">
        <v>52.0</v>
      </c>
      <c r="Q337" s="65"/>
      <c r="R337" s="67">
        <f t="array" ref="R337">INDIRECT("'renta'!G$"&amp;MATCH(O337,renta!$A:$A,0))*P337</f>
        <v>22752.64204</v>
      </c>
      <c r="S337" s="68">
        <f t="shared" si="31"/>
        <v>79529.9073</v>
      </c>
      <c r="T337" s="69" t="str">
        <f t="shared" si="25"/>
        <v>GLASS</v>
      </c>
      <c r="U337" s="70">
        <f t="shared" si="5"/>
        <v>0.02559584628</v>
      </c>
      <c r="V337" s="71"/>
      <c r="W337" s="72" t="str">
        <f t="shared" si="6"/>
        <v/>
      </c>
      <c r="X337" s="72"/>
      <c r="Y337" s="71">
        <v>1.0</v>
      </c>
      <c r="Z337" s="60">
        <v>0.25</v>
      </c>
      <c r="AA337" s="85" t="s">
        <v>1838</v>
      </c>
      <c r="AB337" s="74" t="s">
        <v>1839</v>
      </c>
      <c r="AC337" s="75" t="s">
        <v>900</v>
      </c>
      <c r="AD337" s="74" t="s">
        <v>1840</v>
      </c>
      <c r="AE337" s="75" t="s">
        <v>1420</v>
      </c>
      <c r="AF337" s="61" t="s">
        <v>806</v>
      </c>
      <c r="AG337" s="61" t="s">
        <v>1841</v>
      </c>
      <c r="AH337" s="86">
        <v>8.0</v>
      </c>
      <c r="AI337" s="60"/>
    </row>
    <row r="338">
      <c r="A338" s="78" t="s">
        <v>1842</v>
      </c>
      <c r="B338" s="38">
        <v>4.0</v>
      </c>
      <c r="C338" s="39">
        <v>0.9583333333333334</v>
      </c>
      <c r="D338" s="40">
        <f t="array" ref="D338">IFERROR(INDIRECT("'renta'!G$"&amp;MATCH(T338,renta!$A:$A,0))*0.975-(G338*INDIRECT("'renta'!G$"&amp;MATCH(F338,renta!$A:$A,0)))/B338-IFERROR((J338*INDIRECT("'renta'!G$"&amp;MATCH(I338,renta!$A:$A,0)))/B338,0),)</f>
        <v>-43.96931234</v>
      </c>
      <c r="E338" s="41">
        <f t="shared" si="1"/>
        <v>-15.29367386</v>
      </c>
      <c r="F338" s="40" t="s">
        <v>24</v>
      </c>
      <c r="G338" s="43">
        <f t="shared" si="2"/>
        <v>627.6935</v>
      </c>
      <c r="H338" s="44" t="s">
        <v>1843</v>
      </c>
      <c r="I338" s="40" t="s">
        <v>57</v>
      </c>
      <c r="J338" s="40">
        <f t="shared" si="23"/>
        <v>27.9015</v>
      </c>
      <c r="K338" s="40">
        <v>29.37</v>
      </c>
      <c r="L338" s="38" t="s">
        <v>1307</v>
      </c>
      <c r="M338" s="46">
        <v>90.0</v>
      </c>
      <c r="N338" s="46">
        <v>180.0</v>
      </c>
      <c r="O338" s="42" t="s">
        <v>65</v>
      </c>
      <c r="P338" s="46">
        <v>64.0</v>
      </c>
      <c r="Q338" s="46"/>
      <c r="R338" s="47">
        <f t="array" ref="R338">INDIRECT("'renta'!G$"&amp;MATCH(O338,renta!$A:$A,0))*P338</f>
        <v>28003.25174</v>
      </c>
      <c r="S338" s="48">
        <f t="shared" si="31"/>
        <v>107533.159</v>
      </c>
      <c r="T338" s="49" t="str">
        <f t="shared" si="25"/>
        <v>GLASS</v>
      </c>
      <c r="U338" s="50">
        <f t="shared" si="5"/>
        <v>-0.03742553817</v>
      </c>
      <c r="V338" s="80"/>
      <c r="W338" s="52" t="str">
        <f t="shared" si="6"/>
        <v/>
      </c>
      <c r="X338" s="52"/>
      <c r="Y338" s="80">
        <v>0.0</v>
      </c>
      <c r="Z338" s="39">
        <v>-0.14583333333333334</v>
      </c>
      <c r="AA338" s="81" t="s">
        <v>1844</v>
      </c>
      <c r="AB338" s="82" t="s">
        <v>1845</v>
      </c>
      <c r="AC338" s="54" t="s">
        <v>906</v>
      </c>
      <c r="AD338" s="82" t="s">
        <v>1419</v>
      </c>
      <c r="AE338" s="54" t="s">
        <v>1846</v>
      </c>
      <c r="AF338" s="40" t="s">
        <v>806</v>
      </c>
      <c r="AG338" s="40" t="s">
        <v>1847</v>
      </c>
      <c r="AH338" s="87">
        <v>8.0</v>
      </c>
      <c r="AI338" s="39"/>
    </row>
    <row r="339">
      <c r="A339" s="58" t="s">
        <v>1848</v>
      </c>
      <c r="B339" s="59">
        <v>4.0</v>
      </c>
      <c r="C339" s="60">
        <v>0.8541666666666666</v>
      </c>
      <c r="D339" s="61">
        <f t="array" ref="D339">IFERROR(INDIRECT("'renta'!G$"&amp;MATCH(T339,renta!$A:$A,0))*0.975-(G339*INDIRECT("'renta'!G$"&amp;MATCH(F339,renta!$A:$A,0)))/B339-IFERROR((J339*INDIRECT("'renta'!G$"&amp;MATCH(I339,renta!$A:$A,0)))/B339,0),)</f>
        <v>-40.76846312</v>
      </c>
      <c r="E339" s="41">
        <f t="shared" si="1"/>
        <v>-15.90964414</v>
      </c>
      <c r="F339" s="61" t="s">
        <v>24</v>
      </c>
      <c r="G339" s="62">
        <f t="shared" si="2"/>
        <v>623.466</v>
      </c>
      <c r="H339" s="63" t="s">
        <v>1849</v>
      </c>
      <c r="I339" s="61" t="s">
        <v>57</v>
      </c>
      <c r="J339" s="61">
        <f t="shared" si="23"/>
        <v>27.7115</v>
      </c>
      <c r="K339" s="61">
        <v>29.17</v>
      </c>
      <c r="L339" s="59" t="s">
        <v>1313</v>
      </c>
      <c r="M339" s="65">
        <v>90.0</v>
      </c>
      <c r="N339" s="65">
        <v>180.0</v>
      </c>
      <c r="O339" s="66" t="s">
        <v>65</v>
      </c>
      <c r="P339" s="65">
        <v>78.0</v>
      </c>
      <c r="Q339" s="65"/>
      <c r="R339" s="67">
        <f t="array" ref="R339">INDIRECT("'renta'!G$"&amp;MATCH(O339,renta!$A:$A,0))*P339</f>
        <v>34128.96306</v>
      </c>
      <c r="S339" s="68">
        <f t="shared" si="31"/>
        <v>141662.1221</v>
      </c>
      <c r="T339" s="69" t="str">
        <f t="shared" si="25"/>
        <v>GLASS</v>
      </c>
      <c r="U339" s="70">
        <f t="shared" si="5"/>
        <v>-0.01804831532</v>
      </c>
      <c r="V339" s="71"/>
      <c r="W339" s="72" t="str">
        <f t="shared" si="6"/>
        <v/>
      </c>
      <c r="X339" s="72"/>
      <c r="Y339" s="71">
        <v>0.0</v>
      </c>
      <c r="Z339" s="60">
        <v>-0.10416666666666667</v>
      </c>
      <c r="AA339" s="85" t="s">
        <v>1424</v>
      </c>
      <c r="AB339" s="74" t="s">
        <v>1850</v>
      </c>
      <c r="AC339" s="75" t="s">
        <v>912</v>
      </c>
      <c r="AD339" s="74" t="s">
        <v>1425</v>
      </c>
      <c r="AE339" s="75" t="s">
        <v>1431</v>
      </c>
      <c r="AF339" s="61" t="s">
        <v>806</v>
      </c>
      <c r="AG339" s="61" t="s">
        <v>1851</v>
      </c>
      <c r="AH339" s="86">
        <v>8.0</v>
      </c>
      <c r="AI339" s="60"/>
    </row>
    <row r="340">
      <c r="A340" s="78" t="s">
        <v>1852</v>
      </c>
      <c r="B340" s="38">
        <v>4.0</v>
      </c>
      <c r="C340" s="39">
        <v>0.7708333333333334</v>
      </c>
      <c r="D340" s="40">
        <f t="array" ref="D340">IFERROR(INDIRECT("'renta'!G$"&amp;MATCH(T340,renta!$A:$A,0))*0.975-(G340*INDIRECT("'renta'!G$"&amp;MATCH(F340,renta!$A:$A,0)))/B340-IFERROR((J340*INDIRECT("'renta'!G$"&amp;MATCH(I340,renta!$A:$A,0)))/B340,0),)</f>
        <v>-37.71932627</v>
      </c>
      <c r="E340" s="41">
        <f t="shared" si="1"/>
        <v>-16.31106001</v>
      </c>
      <c r="F340" s="40" t="s">
        <v>24</v>
      </c>
      <c r="G340" s="43">
        <f t="shared" si="2"/>
        <v>619.343</v>
      </c>
      <c r="H340" s="44" t="s">
        <v>1853</v>
      </c>
      <c r="I340" s="40" t="s">
        <v>57</v>
      </c>
      <c r="J340" s="40">
        <f t="shared" si="23"/>
        <v>27.531</v>
      </c>
      <c r="K340" s="40">
        <v>28.98</v>
      </c>
      <c r="L340" s="38" t="s">
        <v>1320</v>
      </c>
      <c r="M340" s="46">
        <v>90.0</v>
      </c>
      <c r="N340" s="46">
        <v>180.0</v>
      </c>
      <c r="O340" s="42" t="s">
        <v>65</v>
      </c>
      <c r="P340" s="46">
        <v>96.0</v>
      </c>
      <c r="Q340" s="46"/>
      <c r="R340" s="47">
        <f t="array" ref="R340">INDIRECT("'renta'!G$"&amp;MATCH(O340,renta!$A:$A,0))*P340</f>
        <v>42004.87761</v>
      </c>
      <c r="S340" s="48">
        <f t="shared" si="31"/>
        <v>183666.9997</v>
      </c>
      <c r="T340" s="49" t="str">
        <f t="shared" si="25"/>
        <v>GLASS</v>
      </c>
      <c r="U340" s="50">
        <f t="shared" si="5"/>
        <v>-0.009556410808</v>
      </c>
      <c r="V340" s="80"/>
      <c r="W340" s="52" t="str">
        <f t="shared" si="6"/>
        <v/>
      </c>
      <c r="X340" s="52"/>
      <c r="Y340" s="80">
        <v>0.0</v>
      </c>
      <c r="Z340" s="39">
        <v>-0.08333333333333333</v>
      </c>
      <c r="AA340" s="81" t="s">
        <v>1854</v>
      </c>
      <c r="AB340" s="82" t="s">
        <v>1855</v>
      </c>
      <c r="AC340" s="54" t="s">
        <v>927</v>
      </c>
      <c r="AD340" s="82" t="s">
        <v>1856</v>
      </c>
      <c r="AE340" s="54" t="s">
        <v>1436</v>
      </c>
      <c r="AF340" s="40" t="s">
        <v>806</v>
      </c>
      <c r="AG340" s="40" t="s">
        <v>1857</v>
      </c>
      <c r="AH340" s="87">
        <v>8.0</v>
      </c>
      <c r="AI340" s="39"/>
    </row>
    <row r="341">
      <c r="A341" s="58" t="s">
        <v>1858</v>
      </c>
      <c r="B341" s="59">
        <v>4.0</v>
      </c>
      <c r="C341" s="60">
        <v>0.7083333333333334</v>
      </c>
      <c r="D341" s="61">
        <f t="array" ref="D341">IFERROR(INDIRECT("'renta'!G$"&amp;MATCH(T341,renta!$A:$A,0))*0.975-(G341*INDIRECT("'renta'!G$"&amp;MATCH(F341,renta!$A:$A,0)))/B341-IFERROR((J341*INDIRECT("'renta'!G$"&amp;MATCH(I341,renta!$A:$A,0)))/B341,0),)</f>
        <v>-34.68721983</v>
      </c>
      <c r="E341" s="41">
        <f t="shared" si="1"/>
        <v>-16.32339757</v>
      </c>
      <c r="F341" s="61" t="s">
        <v>24</v>
      </c>
      <c r="G341" s="62">
        <f t="shared" si="2"/>
        <v>615.4385</v>
      </c>
      <c r="H341" s="63" t="s">
        <v>1859</v>
      </c>
      <c r="I341" s="61" t="s">
        <v>57</v>
      </c>
      <c r="J341" s="61">
        <f t="shared" si="23"/>
        <v>27.3505</v>
      </c>
      <c r="K341" s="61">
        <v>28.79</v>
      </c>
      <c r="L341" s="59" t="s">
        <v>1327</v>
      </c>
      <c r="M341" s="65">
        <v>90.0</v>
      </c>
      <c r="N341" s="65">
        <v>180.0</v>
      </c>
      <c r="O341" s="66" t="s">
        <v>68</v>
      </c>
      <c r="P341" s="65">
        <v>18.0</v>
      </c>
      <c r="Q341" s="65"/>
      <c r="R341" s="67">
        <f t="array" ref="R341">INDIRECT("'renta'!G$"&amp;MATCH(O341,renta!$A:$A,0))*P341</f>
        <v>43578</v>
      </c>
      <c r="S341" s="68">
        <f t="shared" si="31"/>
        <v>227244.9997</v>
      </c>
      <c r="T341" s="69" t="str">
        <f t="shared" si="25"/>
        <v>GLASS</v>
      </c>
      <c r="U341" s="70">
        <f t="shared" si="5"/>
        <v>-0.0002831143053</v>
      </c>
      <c r="V341" s="71"/>
      <c r="W341" s="72" t="str">
        <f t="shared" si="6"/>
        <v/>
      </c>
      <c r="X341" s="72"/>
      <c r="Y341" s="71">
        <v>0.0</v>
      </c>
      <c r="Z341" s="60">
        <v>-0.0625</v>
      </c>
      <c r="AA341" s="85" t="s">
        <v>1860</v>
      </c>
      <c r="AB341" s="74" t="s">
        <v>1861</v>
      </c>
      <c r="AC341" s="75" t="s">
        <v>933</v>
      </c>
      <c r="AD341" s="74" t="s">
        <v>1862</v>
      </c>
      <c r="AE341" s="75" t="s">
        <v>1441</v>
      </c>
      <c r="AF341" s="61" t="s">
        <v>806</v>
      </c>
      <c r="AG341" s="61" t="s">
        <v>1863</v>
      </c>
      <c r="AH341" s="86">
        <v>8.0</v>
      </c>
      <c r="AI341" s="60"/>
    </row>
    <row r="342">
      <c r="A342" s="78" t="s">
        <v>1864</v>
      </c>
      <c r="B342" s="38">
        <v>5.0</v>
      </c>
      <c r="C342" s="39">
        <v>0.875</v>
      </c>
      <c r="D342" s="40">
        <f t="array" ref="D342">IFERROR(INDIRECT("'renta'!G$"&amp;MATCH(T342,renta!$A:$A,0))*0.975-(G342*INDIRECT("'renta'!G$"&amp;MATCH(F342,renta!$A:$A,0)))/B342-IFERROR((J342*INDIRECT("'renta'!G$"&amp;MATCH(I342,renta!$A:$A,0)))/B342,0),)</f>
        <v>-31.89311429</v>
      </c>
      <c r="E342" s="41">
        <f t="shared" si="1"/>
        <v>-15.18719728</v>
      </c>
      <c r="F342" s="40" t="s">
        <v>24</v>
      </c>
      <c r="G342" s="43">
        <f t="shared" si="2"/>
        <v>764.5505</v>
      </c>
      <c r="H342" s="44" t="s">
        <v>1865</v>
      </c>
      <c r="I342" s="40" t="s">
        <v>57</v>
      </c>
      <c r="J342" s="40">
        <f t="shared" si="23"/>
        <v>33.9815</v>
      </c>
      <c r="K342" s="40">
        <v>35.77</v>
      </c>
      <c r="L342" s="38" t="s">
        <v>1334</v>
      </c>
      <c r="M342" s="46">
        <v>111.5</v>
      </c>
      <c r="N342" s="46">
        <v>180.0</v>
      </c>
      <c r="O342" s="42" t="s">
        <v>68</v>
      </c>
      <c r="P342" s="46">
        <v>22.0</v>
      </c>
      <c r="Q342" s="46"/>
      <c r="R342" s="47">
        <f t="array" ref="R342">INDIRECT("'renta'!G$"&amp;MATCH(O342,renta!$A:$A,0))*P342</f>
        <v>53262</v>
      </c>
      <c r="S342" s="48">
        <f t="shared" si="31"/>
        <v>280506.9997</v>
      </c>
      <c r="T342" s="49" t="str">
        <f t="shared" si="25"/>
        <v>GLASS</v>
      </c>
      <c r="U342" s="50">
        <f t="shared" si="5"/>
        <v>0.0213322873</v>
      </c>
      <c r="V342" s="80"/>
      <c r="W342" s="52" t="str">
        <f t="shared" si="6"/>
        <v/>
      </c>
      <c r="X342" s="52"/>
      <c r="Y342" s="80">
        <v>1.0</v>
      </c>
      <c r="Z342" s="39">
        <v>0.16666666666666666</v>
      </c>
      <c r="AA342" s="81" t="s">
        <v>1866</v>
      </c>
      <c r="AB342" s="82" t="s">
        <v>1867</v>
      </c>
      <c r="AC342" s="54" t="s">
        <v>939</v>
      </c>
      <c r="AD342" s="82" t="s">
        <v>1868</v>
      </c>
      <c r="AE342" s="54" t="s">
        <v>1446</v>
      </c>
      <c r="AF342" s="40" t="s">
        <v>806</v>
      </c>
      <c r="AG342" s="40" t="s">
        <v>1869</v>
      </c>
      <c r="AH342" s="87">
        <v>8.0</v>
      </c>
      <c r="AI342" s="39"/>
    </row>
    <row r="343">
      <c r="A343" s="58" t="s">
        <v>1870</v>
      </c>
      <c r="B343" s="59">
        <v>5.0</v>
      </c>
      <c r="C343" s="60">
        <v>0.7291666666666666</v>
      </c>
      <c r="D343" s="61">
        <f t="array" ref="D343">IFERROR(INDIRECT("'renta'!G$"&amp;MATCH(T343,renta!$A:$A,0))*0.975-(G343*INDIRECT("'renta'!G$"&amp;MATCH(F343,renta!$A:$A,0)))/B343-IFERROR((J343*INDIRECT("'renta'!G$"&amp;MATCH(I343,renta!$A:$A,0)))/B343,0),)</f>
        <v>-29.20158722</v>
      </c>
      <c r="E343" s="41">
        <f t="shared" si="1"/>
        <v>-16.68662127</v>
      </c>
      <c r="F343" s="61" t="s">
        <v>24</v>
      </c>
      <c r="G343" s="62">
        <f t="shared" si="2"/>
        <v>760.0665</v>
      </c>
      <c r="H343" s="63" t="s">
        <v>1871</v>
      </c>
      <c r="I343" s="61" t="s">
        <v>57</v>
      </c>
      <c r="J343" s="61">
        <f t="shared" si="23"/>
        <v>33.782</v>
      </c>
      <c r="K343" s="61">
        <v>35.56</v>
      </c>
      <c r="L343" s="59" t="s">
        <v>1341</v>
      </c>
      <c r="M343" s="65">
        <v>111.5</v>
      </c>
      <c r="N343" s="65">
        <v>180.0</v>
      </c>
      <c r="O343" s="66" t="s">
        <v>68</v>
      </c>
      <c r="P343" s="65">
        <v>26.0</v>
      </c>
      <c r="Q343" s="65"/>
      <c r="R343" s="67">
        <f t="array" ref="R343">INDIRECT("'renta'!G$"&amp;MATCH(O343,renta!$A:$A,0))*P343</f>
        <v>62946</v>
      </c>
      <c r="S343" s="68">
        <f t="shared" si="31"/>
        <v>343452.9997</v>
      </c>
      <c r="T343" s="69" t="str">
        <f t="shared" si="25"/>
        <v>GLASS</v>
      </c>
      <c r="U343" s="70">
        <f t="shared" si="5"/>
        <v>-0.02382079864</v>
      </c>
      <c r="V343" s="71"/>
      <c r="W343" s="72" t="str">
        <f t="shared" si="6"/>
        <v/>
      </c>
      <c r="X343" s="72"/>
      <c r="Y343" s="71">
        <v>0.0</v>
      </c>
      <c r="Z343" s="60">
        <v>-0.14583333333333334</v>
      </c>
      <c r="AA343" s="73">
        <v>0.2</v>
      </c>
      <c r="AB343" s="74" t="s">
        <v>1872</v>
      </c>
      <c r="AC343" s="75" t="s">
        <v>944</v>
      </c>
      <c r="AD343" s="74" t="s">
        <v>1873</v>
      </c>
      <c r="AE343" s="75" t="s">
        <v>1452</v>
      </c>
      <c r="AF343" s="61" t="s">
        <v>806</v>
      </c>
      <c r="AG343" s="61" t="s">
        <v>1874</v>
      </c>
      <c r="AH343" s="86">
        <v>8.0</v>
      </c>
      <c r="AI343" s="60"/>
    </row>
    <row r="344">
      <c r="A344" s="78" t="s">
        <v>1875</v>
      </c>
      <c r="B344" s="38">
        <v>5.0</v>
      </c>
      <c r="C344" s="39">
        <v>0.6041666666666666</v>
      </c>
      <c r="D344" s="40">
        <f t="array" ref="D344">IFERROR(INDIRECT("'renta'!G$"&amp;MATCH(T344,renta!$A:$A,0))*0.975-(G344*INDIRECT("'renta'!G$"&amp;MATCH(F344,renta!$A:$A,0)))/B344-IFERROR((J344*INDIRECT("'renta'!G$"&amp;MATCH(I344,renta!$A:$A,0)))/B344,0),)</f>
        <v>-26.5171685</v>
      </c>
      <c r="E344" s="41">
        <f t="shared" si="1"/>
        <v>-18.28770241</v>
      </c>
      <c r="F344" s="40" t="s">
        <v>24</v>
      </c>
      <c r="G344" s="43">
        <f t="shared" si="2"/>
        <v>755.6965</v>
      </c>
      <c r="H344" s="44" t="s">
        <v>1876</v>
      </c>
      <c r="I344" s="40" t="s">
        <v>57</v>
      </c>
      <c r="J344" s="40">
        <f t="shared" si="23"/>
        <v>33.5825</v>
      </c>
      <c r="K344" s="40">
        <v>35.35</v>
      </c>
      <c r="L344" s="38" t="s">
        <v>1347</v>
      </c>
      <c r="M344" s="46">
        <v>111.5</v>
      </c>
      <c r="N344" s="46">
        <v>180.0</v>
      </c>
      <c r="O344" s="42" t="s">
        <v>68</v>
      </c>
      <c r="P344" s="46">
        <v>32.0</v>
      </c>
      <c r="Q344" s="46"/>
      <c r="R344" s="47">
        <f t="array" ref="R344">INDIRECT("'renta'!G$"&amp;MATCH(O344,renta!$A:$A,0))*P344</f>
        <v>77472</v>
      </c>
      <c r="S344" s="48">
        <f t="shared" si="31"/>
        <v>420924.9997</v>
      </c>
      <c r="T344" s="49" t="str">
        <f t="shared" si="25"/>
        <v>GLASS</v>
      </c>
      <c r="U344" s="50">
        <f t="shared" si="5"/>
        <v>-0.02066657817</v>
      </c>
      <c r="V344" s="80"/>
      <c r="W344" s="52" t="str">
        <f t="shared" si="6"/>
        <v/>
      </c>
      <c r="X344" s="52"/>
      <c r="Y344" s="80">
        <v>0.0</v>
      </c>
      <c r="Z344" s="39">
        <v>-0.125</v>
      </c>
      <c r="AA344" s="81" t="s">
        <v>1877</v>
      </c>
      <c r="AB344" s="82" t="s">
        <v>1878</v>
      </c>
      <c r="AC344" s="54" t="s">
        <v>950</v>
      </c>
      <c r="AD344" s="82" t="s">
        <v>1879</v>
      </c>
      <c r="AE344" s="54" t="s">
        <v>1880</v>
      </c>
      <c r="AF344" s="40" t="s">
        <v>806</v>
      </c>
      <c r="AG344" s="40" t="s">
        <v>1881</v>
      </c>
      <c r="AH344" s="87">
        <v>8.0</v>
      </c>
      <c r="AI344" s="39"/>
    </row>
    <row r="345">
      <c r="A345" s="58" t="s">
        <v>1882</v>
      </c>
      <c r="B345" s="59">
        <v>5.0</v>
      </c>
      <c r="C345" s="60">
        <v>0.5</v>
      </c>
      <c r="D345" s="61">
        <f t="array" ref="D345">IFERROR(INDIRECT("'renta'!G$"&amp;MATCH(T345,renta!$A:$A,0))*0.975-(G345*INDIRECT("'renta'!G$"&amp;MATCH(F345,renta!$A:$A,0)))/B345-IFERROR((J345*INDIRECT("'renta'!G$"&amp;MATCH(I345,renta!$A:$A,0)))/B345,0),)</f>
        <v>-24.07015832</v>
      </c>
      <c r="E345" s="41">
        <f t="shared" si="1"/>
        <v>-20.05846527</v>
      </c>
      <c r="F345" s="61" t="s">
        <v>24</v>
      </c>
      <c r="G345" s="62">
        <f t="shared" si="2"/>
        <v>751.45</v>
      </c>
      <c r="H345" s="63" t="s">
        <v>1883</v>
      </c>
      <c r="I345" s="61" t="s">
        <v>57</v>
      </c>
      <c r="J345" s="61">
        <f t="shared" si="23"/>
        <v>33.402</v>
      </c>
      <c r="K345" s="61">
        <v>35.16</v>
      </c>
      <c r="L345" s="59" t="s">
        <v>1354</v>
      </c>
      <c r="M345" s="65">
        <v>111.5</v>
      </c>
      <c r="N345" s="65">
        <v>180.0</v>
      </c>
      <c r="O345" s="66" t="s">
        <v>72</v>
      </c>
      <c r="P345" s="65">
        <v>11.0</v>
      </c>
      <c r="Q345" s="65"/>
      <c r="R345" s="67">
        <f t="array" ref="R345">INDIRECT("'renta'!G$"&amp;MATCH(O345,renta!$A:$A,0))*P345</f>
        <v>92730</v>
      </c>
      <c r="S345" s="68">
        <f t="shared" si="31"/>
        <v>513654.9997</v>
      </c>
      <c r="T345" s="69" t="str">
        <f t="shared" si="25"/>
        <v>GLASS</v>
      </c>
      <c r="U345" s="70">
        <f t="shared" si="5"/>
        <v>-0.01909590052</v>
      </c>
      <c r="V345" s="71"/>
      <c r="W345" s="72" t="str">
        <f t="shared" si="6"/>
        <v/>
      </c>
      <c r="X345" s="72"/>
      <c r="Y345" s="71">
        <v>0.0</v>
      </c>
      <c r="Z345" s="60">
        <v>-0.10416666666666667</v>
      </c>
      <c r="AA345" s="85" t="s">
        <v>1884</v>
      </c>
      <c r="AB345" s="74" t="s">
        <v>1885</v>
      </c>
      <c r="AC345" s="75" t="s">
        <v>950</v>
      </c>
      <c r="AD345" s="74" t="s">
        <v>1886</v>
      </c>
      <c r="AE345" s="75" t="s">
        <v>1457</v>
      </c>
      <c r="AF345" s="61" t="s">
        <v>806</v>
      </c>
      <c r="AG345" s="61" t="s">
        <v>1887</v>
      </c>
      <c r="AH345" s="86">
        <v>8.0</v>
      </c>
      <c r="AI345" s="60"/>
    </row>
    <row r="346">
      <c r="A346" s="78" t="s">
        <v>1888</v>
      </c>
      <c r="B346" s="38">
        <v>5.0</v>
      </c>
      <c r="C346" s="39">
        <v>0.4166666666666667</v>
      </c>
      <c r="D346" s="40">
        <f t="array" ref="D346">IFERROR(INDIRECT("'renta'!G$"&amp;MATCH(T346,renta!$A:$A,0))*0.975-(G346*INDIRECT("'renta'!G$"&amp;MATCH(F346,renta!$A:$A,0)))/B346-IFERROR((J346*INDIRECT("'renta'!G$"&amp;MATCH(I346,renta!$A:$A,0)))/B346,0),)</f>
        <v>-21.63381066</v>
      </c>
      <c r="E346" s="41">
        <f t="shared" si="1"/>
        <v>-21.63381066</v>
      </c>
      <c r="F346" s="40" t="s">
        <v>24</v>
      </c>
      <c r="G346" s="43">
        <f t="shared" si="2"/>
        <v>747.3745</v>
      </c>
      <c r="H346" s="44" t="s">
        <v>1889</v>
      </c>
      <c r="I346" s="40" t="s">
        <v>57</v>
      </c>
      <c r="J346" s="40">
        <f t="shared" si="23"/>
        <v>33.2215</v>
      </c>
      <c r="K346" s="40">
        <v>34.97</v>
      </c>
      <c r="L346" s="38" t="s">
        <v>1361</v>
      </c>
      <c r="M346" s="46">
        <v>111.5</v>
      </c>
      <c r="N346" s="46">
        <v>180.0</v>
      </c>
      <c r="O346" s="42" t="s">
        <v>72</v>
      </c>
      <c r="P346" s="46">
        <v>14.0</v>
      </c>
      <c r="Q346" s="46"/>
      <c r="R346" s="47">
        <f t="array" ref="R346">INDIRECT("'renta'!G$"&amp;MATCH(O346,renta!$A:$A,0))*P346</f>
        <v>118020</v>
      </c>
      <c r="S346" s="48">
        <f t="shared" si="31"/>
        <v>631674.9997</v>
      </c>
      <c r="T346" s="49" t="str">
        <f t="shared" si="25"/>
        <v>GLASS</v>
      </c>
      <c r="U346" s="50">
        <f t="shared" si="5"/>
        <v>-0.01334812224</v>
      </c>
      <c r="V346" s="80"/>
      <c r="W346" s="52" t="str">
        <f t="shared" si="6"/>
        <v/>
      </c>
      <c r="X346" s="52"/>
      <c r="Y346" s="80">
        <v>0.0</v>
      </c>
      <c r="Z346" s="39">
        <v>-0.08333333333333333</v>
      </c>
      <c r="AA346" s="53">
        <v>0.2</v>
      </c>
      <c r="AB346" s="82" t="s">
        <v>1890</v>
      </c>
      <c r="AC346" s="54" t="s">
        <v>960</v>
      </c>
      <c r="AD346" s="82" t="s">
        <v>1362</v>
      </c>
      <c r="AE346" s="54" t="s">
        <v>1461</v>
      </c>
      <c r="AF346" s="40" t="s">
        <v>806</v>
      </c>
      <c r="AG346" s="40" t="s">
        <v>1891</v>
      </c>
      <c r="AH346" s="87">
        <v>8.0</v>
      </c>
      <c r="AI346" s="39"/>
    </row>
    <row r="347">
      <c r="A347" s="58" t="s">
        <v>1892</v>
      </c>
      <c r="B347" s="59">
        <v>6.0</v>
      </c>
      <c r="C347" s="60">
        <v>0.3333333333333333</v>
      </c>
      <c r="D347" s="61">
        <f t="array" ref="D347">IFERROR(INDIRECT("'renta'!G$"&amp;MATCH(T347,renta!$A:$A,0))*0.975-(G347*INDIRECT("'renta'!G$"&amp;MATCH(F347,renta!$A:$A,0)))/B347-IFERROR((J347*INDIRECT("'renta'!G$"&amp;MATCH(I347,renta!$A:$A,0)))/B347,0),)</f>
        <v>-19.24690377</v>
      </c>
      <c r="E347" s="41">
        <f t="shared" si="1"/>
        <v>-28.87035566</v>
      </c>
      <c r="F347" s="61" t="s">
        <v>24</v>
      </c>
      <c r="G347" s="62">
        <f t="shared" si="2"/>
        <v>892.1735</v>
      </c>
      <c r="H347" s="63" t="s">
        <v>1893</v>
      </c>
      <c r="I347" s="61" t="s">
        <v>57</v>
      </c>
      <c r="J347" s="61">
        <f t="shared" si="23"/>
        <v>39.653</v>
      </c>
      <c r="K347" s="61">
        <v>41.74</v>
      </c>
      <c r="L347" s="59" t="s">
        <v>1366</v>
      </c>
      <c r="M347" s="65">
        <v>132.0</v>
      </c>
      <c r="N347" s="65">
        <v>180.0</v>
      </c>
      <c r="O347" s="66" t="s">
        <v>72</v>
      </c>
      <c r="P347" s="65">
        <v>17.0</v>
      </c>
      <c r="Q347" s="65"/>
      <c r="R347" s="67">
        <f t="array" ref="R347">INDIRECT("'renta'!G$"&amp;MATCH(O347,renta!$A:$A,0))*P347</f>
        <v>143310</v>
      </c>
      <c r="S347" s="68">
        <f t="shared" si="31"/>
        <v>774984.9997</v>
      </c>
      <c r="T347" s="69" t="str">
        <f t="shared" si="25"/>
        <v>GLASS</v>
      </c>
      <c r="U347" s="70">
        <f t="shared" si="5"/>
        <v>-0.05049574352</v>
      </c>
      <c r="V347" s="71"/>
      <c r="W347" s="72" t="str">
        <f t="shared" si="6"/>
        <v/>
      </c>
      <c r="X347" s="72"/>
      <c r="Y347" s="71">
        <v>1.0</v>
      </c>
      <c r="Z347" s="60">
        <v>-0.08333333333333333</v>
      </c>
      <c r="AA347" s="73">
        <v>0.5</v>
      </c>
      <c r="AB347" s="74" t="s">
        <v>1894</v>
      </c>
      <c r="AC347" s="75" t="s">
        <v>960</v>
      </c>
      <c r="AD347" s="74" t="s">
        <v>1895</v>
      </c>
      <c r="AE347" s="75" t="s">
        <v>1467</v>
      </c>
      <c r="AF347" s="61" t="s">
        <v>806</v>
      </c>
      <c r="AG347" s="61" t="s">
        <v>1896</v>
      </c>
      <c r="AH347" s="86">
        <v>8.0</v>
      </c>
      <c r="AI347" s="60"/>
    </row>
    <row r="348">
      <c r="A348" s="88"/>
      <c r="B348" s="89"/>
      <c r="C348" s="90"/>
      <c r="D348" s="40" t="str">
        <f t="array" ref="D348">IFERROR(INDIRECT("'renta'!G$"&amp;MATCH(T348,renta!$A:$A,0))*0.975-(G348*INDIRECT("'renta'!G$"&amp;MATCH(F348,renta!$A:$A,0)))/B348-IFERROR((J348*INDIRECT("'renta'!G$"&amp;MATCH(I348,renta!$A:$A,0)))/B348,0),)</f>
        <v/>
      </c>
      <c r="E348" s="41">
        <f t="shared" si="1"/>
        <v>0</v>
      </c>
      <c r="F348" s="79"/>
      <c r="G348" s="43">
        <f t="shared" si="2"/>
        <v>0</v>
      </c>
      <c r="H348" s="91"/>
      <c r="I348" s="79"/>
      <c r="J348" s="40">
        <f t="shared" si="23"/>
        <v>0</v>
      </c>
      <c r="K348" s="79"/>
      <c r="L348" s="92"/>
      <c r="M348" s="93"/>
      <c r="N348" s="93"/>
      <c r="O348" s="45"/>
      <c r="P348" s="93"/>
      <c r="Q348" s="93"/>
      <c r="R348" s="47"/>
      <c r="S348" s="48"/>
      <c r="T348" s="49" t="str">
        <f t="shared" si="25"/>
        <v/>
      </c>
      <c r="U348" s="50" t="str">
        <f t="shared" si="5"/>
        <v>#DIV/0!</v>
      </c>
      <c r="V348" s="94"/>
      <c r="W348" s="52" t="str">
        <f t="shared" si="6"/>
        <v/>
      </c>
      <c r="X348" s="52"/>
      <c r="Y348" s="94"/>
      <c r="Z348" s="90"/>
      <c r="AA348" s="95"/>
      <c r="AB348" s="50"/>
      <c r="AC348" s="83"/>
      <c r="AD348" s="50"/>
      <c r="AE348" s="83"/>
      <c r="AF348" s="79"/>
      <c r="AG348" s="79"/>
      <c r="AH348" s="84"/>
      <c r="AI348" s="90"/>
    </row>
    <row r="349">
      <c r="A349" s="58" t="s">
        <v>1897</v>
      </c>
      <c r="B349" s="59">
        <v>1.0</v>
      </c>
      <c r="C349" s="60">
        <v>1.0</v>
      </c>
      <c r="D349" s="61">
        <f t="array" ref="D349">IFERROR(INDIRECT("'renta'!G$"&amp;MATCH(T349,renta!$A:$A,0))*0.975-(G349*INDIRECT("'renta'!G$"&amp;MATCH(F349,renta!$A:$A,0)))/B349-IFERROR((J349*INDIRECT("'renta'!G$"&amp;MATCH(I349,renta!$A:$A,0)))/B349,0),)</f>
        <v>-18.85</v>
      </c>
      <c r="E349" s="41">
        <f t="shared" si="1"/>
        <v>-1.963541667</v>
      </c>
      <c r="F349" s="61" t="s">
        <v>45</v>
      </c>
      <c r="G349" s="62">
        <f t="shared" si="2"/>
        <v>1.9</v>
      </c>
      <c r="H349" s="63" t="s">
        <v>1898</v>
      </c>
      <c r="I349" s="64"/>
      <c r="J349" s="61">
        <f t="shared" si="23"/>
        <v>0</v>
      </c>
      <c r="K349" s="64"/>
      <c r="L349" s="59" t="s">
        <v>137</v>
      </c>
      <c r="M349" s="65">
        <v>47.5</v>
      </c>
      <c r="N349" s="65">
        <v>450.0</v>
      </c>
      <c r="O349" s="66" t="s">
        <v>12</v>
      </c>
      <c r="P349" s="65">
        <v>1.0</v>
      </c>
      <c r="Q349" s="65"/>
      <c r="R349" s="67">
        <f t="array" ref="R349">INDIRECT("'renta'!G$"&amp;MATCH(O349,renta!$A:$A,0))*P349</f>
        <v>0.0041</v>
      </c>
      <c r="S349" s="68">
        <f t="shared" ref="S349:S363" si="32">SUM(R$349:R349)</f>
        <v>0.0041</v>
      </c>
      <c r="T349" s="69" t="str">
        <f t="shared" si="25"/>
        <v>GAS</v>
      </c>
      <c r="U349" s="70">
        <f t="shared" si="5"/>
        <v>-478912.6016</v>
      </c>
      <c r="V349" s="71"/>
      <c r="W349" s="72" t="str">
        <f t="shared" si="6"/>
        <v/>
      </c>
      <c r="X349" s="72"/>
      <c r="Y349" s="71">
        <v>0.0</v>
      </c>
      <c r="Z349" s="60">
        <v>0.0</v>
      </c>
      <c r="AA349" s="73">
        <v>0.0</v>
      </c>
      <c r="AB349" s="74" t="s">
        <v>147</v>
      </c>
      <c r="AC349" s="75" t="s">
        <v>1899</v>
      </c>
      <c r="AD349" s="70"/>
      <c r="AE349" s="76"/>
      <c r="AF349" s="61" t="s">
        <v>806</v>
      </c>
      <c r="AG349" s="61" t="s">
        <v>1900</v>
      </c>
      <c r="AH349" s="86">
        <v>9.0</v>
      </c>
      <c r="AI349" s="59">
        <v>0.25</v>
      </c>
    </row>
    <row r="350">
      <c r="A350" s="78" t="s">
        <v>1901</v>
      </c>
      <c r="B350" s="38">
        <v>1.0</v>
      </c>
      <c r="C350" s="39">
        <v>0.8958333333333334</v>
      </c>
      <c r="D350" s="40">
        <f t="array" ref="D350">IFERROR(INDIRECT("'renta'!G$"&amp;MATCH(T350,renta!$A:$A,0))*0.975-(G350*INDIRECT("'renta'!G$"&amp;MATCH(F350,renta!$A:$A,0)))/B350-IFERROR((J350*INDIRECT("'renta'!G$"&amp;MATCH(I350,renta!$A:$A,0)))/B350,0),)</f>
        <v>-14.898</v>
      </c>
      <c r="E350" s="41">
        <f t="shared" si="1"/>
        <v>-1.732325581</v>
      </c>
      <c r="F350" s="40" t="s">
        <v>45</v>
      </c>
      <c r="G350" s="43">
        <f t="shared" si="2"/>
        <v>1.881</v>
      </c>
      <c r="H350" s="44" t="s">
        <v>1902</v>
      </c>
      <c r="I350" s="79"/>
      <c r="J350" s="40">
        <f t="shared" si="23"/>
        <v>0</v>
      </c>
      <c r="K350" s="79"/>
      <c r="L350" s="38" t="s">
        <v>1903</v>
      </c>
      <c r="M350" s="46">
        <v>47.5</v>
      </c>
      <c r="N350" s="46">
        <v>450.0</v>
      </c>
      <c r="O350" s="42" t="s">
        <v>30</v>
      </c>
      <c r="P350" s="46">
        <v>13.0</v>
      </c>
      <c r="Q350" s="46"/>
      <c r="R350" s="47">
        <f t="array" ref="R350">INDIRECT("'renta'!G$"&amp;MATCH(O350,renta!$A:$A,0))*P350</f>
        <v>481</v>
      </c>
      <c r="S350" s="48">
        <f t="shared" si="32"/>
        <v>481.0041</v>
      </c>
      <c r="T350" s="49" t="str">
        <f t="shared" si="25"/>
        <v>GAS</v>
      </c>
      <c r="U350" s="50">
        <f t="shared" si="5"/>
        <v>0.480698722</v>
      </c>
      <c r="V350" s="80"/>
      <c r="W350" s="52" t="str">
        <f t="shared" si="6"/>
        <v/>
      </c>
      <c r="X350" s="52"/>
      <c r="Y350" s="80">
        <v>0.0</v>
      </c>
      <c r="Z350" s="39">
        <v>-0.10416666666666667</v>
      </c>
      <c r="AA350" s="81" t="s">
        <v>1904</v>
      </c>
      <c r="AB350" s="82" t="s">
        <v>1905</v>
      </c>
      <c r="AC350" s="54" t="s">
        <v>1906</v>
      </c>
      <c r="AD350" s="50"/>
      <c r="AE350" s="83"/>
      <c r="AF350" s="40" t="s">
        <v>806</v>
      </c>
      <c r="AG350" s="40" t="s">
        <v>1907</v>
      </c>
      <c r="AH350" s="87">
        <v>9.0</v>
      </c>
      <c r="AI350" s="38">
        <v>0.25</v>
      </c>
    </row>
    <row r="351">
      <c r="A351" s="58" t="s">
        <v>1908</v>
      </c>
      <c r="B351" s="59">
        <v>1.0</v>
      </c>
      <c r="C351" s="60">
        <v>0.8125</v>
      </c>
      <c r="D351" s="61">
        <f t="array" ref="D351">IFERROR(INDIRECT("'renta'!G$"&amp;MATCH(T351,renta!$A:$A,0))*0.975-(G351*INDIRECT("'renta'!G$"&amp;MATCH(F351,renta!$A:$A,0)))/B351-IFERROR((J351*INDIRECT("'renta'!G$"&amp;MATCH(I351,renta!$A:$A,0)))/B351,0),)</f>
        <v>-10.946</v>
      </c>
      <c r="E351" s="41">
        <f t="shared" si="1"/>
        <v>-1.403333333</v>
      </c>
      <c r="F351" s="61" t="s">
        <v>45</v>
      </c>
      <c r="G351" s="62">
        <f t="shared" si="2"/>
        <v>1.862</v>
      </c>
      <c r="H351" s="63" t="s">
        <v>1909</v>
      </c>
      <c r="I351" s="64"/>
      <c r="J351" s="61">
        <f t="shared" si="23"/>
        <v>0</v>
      </c>
      <c r="K351" s="64"/>
      <c r="L351" s="59" t="s">
        <v>1910</v>
      </c>
      <c r="M351" s="65">
        <v>47.5</v>
      </c>
      <c r="N351" s="65">
        <v>450.0</v>
      </c>
      <c r="O351" s="66" t="s">
        <v>30</v>
      </c>
      <c r="P351" s="65">
        <v>16.0</v>
      </c>
      <c r="Q351" s="65"/>
      <c r="R351" s="67">
        <f t="array" ref="R351">INDIRECT("'renta'!G$"&amp;MATCH(O351,renta!$A:$A,0))*P351</f>
        <v>592</v>
      </c>
      <c r="S351" s="68">
        <f t="shared" si="32"/>
        <v>1073.0041</v>
      </c>
      <c r="T351" s="69" t="str">
        <f t="shared" si="25"/>
        <v>GAS</v>
      </c>
      <c r="U351" s="70">
        <f t="shared" si="5"/>
        <v>0.5557301488</v>
      </c>
      <c r="V351" s="71"/>
      <c r="W351" s="72" t="str">
        <f t="shared" si="6"/>
        <v/>
      </c>
      <c r="X351" s="72"/>
      <c r="Y351" s="71">
        <v>0.0</v>
      </c>
      <c r="Z351" s="60">
        <v>-0.08333333333333333</v>
      </c>
      <c r="AA351" s="85" t="s">
        <v>1911</v>
      </c>
      <c r="AB351" s="74" t="s">
        <v>1912</v>
      </c>
      <c r="AC351" s="75" t="s">
        <v>1913</v>
      </c>
      <c r="AD351" s="70"/>
      <c r="AE351" s="76"/>
      <c r="AF351" s="61" t="s">
        <v>806</v>
      </c>
      <c r="AG351" s="61" t="s">
        <v>1914</v>
      </c>
      <c r="AH351" s="86">
        <v>9.0</v>
      </c>
      <c r="AI351" s="59">
        <v>0.25</v>
      </c>
    </row>
    <row r="352">
      <c r="A352" s="78" t="s">
        <v>1915</v>
      </c>
      <c r="B352" s="38">
        <v>1.0</v>
      </c>
      <c r="C352" s="39">
        <v>0.75</v>
      </c>
      <c r="D352" s="40">
        <f t="array" ref="D352">IFERROR(INDIRECT("'renta'!G$"&amp;MATCH(T352,renta!$A:$A,0))*0.975-(G352*INDIRECT("'renta'!G$"&amp;MATCH(F352,renta!$A:$A,0)))/B352-IFERROR((J352*INDIRECT("'renta'!G$"&amp;MATCH(I352,renta!$A:$A,0)))/B352,0),)</f>
        <v>-6.994</v>
      </c>
      <c r="E352" s="41">
        <f t="shared" si="1"/>
        <v>-0.9713888889</v>
      </c>
      <c r="F352" s="40" t="s">
        <v>45</v>
      </c>
      <c r="G352" s="43">
        <f t="shared" si="2"/>
        <v>1.843</v>
      </c>
      <c r="H352" s="44" t="s">
        <v>1916</v>
      </c>
      <c r="I352" s="79"/>
      <c r="J352" s="40">
        <f t="shared" si="23"/>
        <v>0</v>
      </c>
      <c r="K352" s="79"/>
      <c r="L352" s="38" t="s">
        <v>1917</v>
      </c>
      <c r="M352" s="46">
        <v>47.5</v>
      </c>
      <c r="N352" s="46">
        <v>450.0</v>
      </c>
      <c r="O352" s="42" t="s">
        <v>30</v>
      </c>
      <c r="P352" s="46">
        <v>21.0</v>
      </c>
      <c r="Q352" s="46"/>
      <c r="R352" s="47">
        <f t="array" ref="R352">INDIRECT("'renta'!G$"&amp;MATCH(O352,renta!$A:$A,0))*P352</f>
        <v>777</v>
      </c>
      <c r="S352" s="48">
        <f t="shared" si="32"/>
        <v>1850.0041</v>
      </c>
      <c r="T352" s="49" t="str">
        <f t="shared" si="25"/>
        <v>GAS</v>
      </c>
      <c r="U352" s="50">
        <f t="shared" si="5"/>
        <v>0.5559130559</v>
      </c>
      <c r="V352" s="80"/>
      <c r="W352" s="52" t="str">
        <f t="shared" si="6"/>
        <v/>
      </c>
      <c r="X352" s="52"/>
      <c r="Y352" s="80">
        <v>0.0</v>
      </c>
      <c r="Z352" s="39">
        <v>-0.0625</v>
      </c>
      <c r="AA352" s="81" t="s">
        <v>1918</v>
      </c>
      <c r="AB352" s="82" t="s">
        <v>1919</v>
      </c>
      <c r="AC352" s="54" t="s">
        <v>1913</v>
      </c>
      <c r="AD352" s="50"/>
      <c r="AE352" s="83"/>
      <c r="AF352" s="40" t="s">
        <v>806</v>
      </c>
      <c r="AG352" s="40" t="s">
        <v>500</v>
      </c>
      <c r="AH352" s="87">
        <v>9.0</v>
      </c>
      <c r="AI352" s="38">
        <v>0.25</v>
      </c>
    </row>
    <row r="353">
      <c r="A353" s="58" t="s">
        <v>1920</v>
      </c>
      <c r="B353" s="59">
        <v>1.0</v>
      </c>
      <c r="C353" s="60">
        <v>0.6875</v>
      </c>
      <c r="D353" s="61">
        <f t="array" ref="D353">IFERROR(INDIRECT("'renta'!G$"&amp;MATCH(T353,renta!$A:$A,0))*0.975-(G353*INDIRECT("'renta'!G$"&amp;MATCH(F353,renta!$A:$A,0)))/B353-IFERROR((J353*INDIRECT("'renta'!G$"&amp;MATCH(I353,renta!$A:$A,0)))/B353,0),)</f>
        <v>-3.042</v>
      </c>
      <c r="E353" s="41">
        <f t="shared" si="1"/>
        <v>-0.4609090909</v>
      </c>
      <c r="F353" s="61" t="s">
        <v>45</v>
      </c>
      <c r="G353" s="62">
        <f t="shared" si="2"/>
        <v>1.824</v>
      </c>
      <c r="H353" s="63" t="s">
        <v>1921</v>
      </c>
      <c r="I353" s="64"/>
      <c r="J353" s="61">
        <f t="shared" si="23"/>
        <v>0</v>
      </c>
      <c r="K353" s="64"/>
      <c r="L353" s="59" t="s">
        <v>1922</v>
      </c>
      <c r="M353" s="65">
        <v>47.5</v>
      </c>
      <c r="N353" s="65">
        <v>450.0</v>
      </c>
      <c r="O353" s="66" t="s">
        <v>30</v>
      </c>
      <c r="P353" s="65">
        <v>27.0</v>
      </c>
      <c r="Q353" s="65"/>
      <c r="R353" s="67">
        <f t="array" ref="R353">INDIRECT("'renta'!G$"&amp;MATCH(O353,renta!$A:$A,0))*P353</f>
        <v>999</v>
      </c>
      <c r="S353" s="68">
        <f t="shared" si="32"/>
        <v>2849.0041</v>
      </c>
      <c r="T353" s="69" t="str">
        <f t="shared" si="25"/>
        <v>GAS</v>
      </c>
      <c r="U353" s="70">
        <f t="shared" si="5"/>
        <v>0.5109907888</v>
      </c>
      <c r="V353" s="71"/>
      <c r="W353" s="72" t="str">
        <f t="shared" si="6"/>
        <v/>
      </c>
      <c r="X353" s="72"/>
      <c r="Y353" s="71">
        <v>0.0</v>
      </c>
      <c r="Z353" s="60">
        <v>-0.0625</v>
      </c>
      <c r="AA353" s="85" t="s">
        <v>1158</v>
      </c>
      <c r="AB353" s="74" t="s">
        <v>1923</v>
      </c>
      <c r="AC353" s="75" t="s">
        <v>1924</v>
      </c>
      <c r="AD353" s="70"/>
      <c r="AE353" s="76"/>
      <c r="AF353" s="61" t="s">
        <v>806</v>
      </c>
      <c r="AG353" s="61" t="s">
        <v>1925</v>
      </c>
      <c r="AH353" s="86">
        <v>9.0</v>
      </c>
      <c r="AI353" s="59">
        <v>0.25</v>
      </c>
    </row>
    <row r="354">
      <c r="A354" s="78" t="s">
        <v>1926</v>
      </c>
      <c r="B354" s="38">
        <v>1.0</v>
      </c>
      <c r="C354" s="39">
        <v>0.625</v>
      </c>
      <c r="D354" s="40">
        <f t="array" ref="D354">IFERROR(INDIRECT("'renta'!G$"&amp;MATCH(T354,renta!$A:$A,0))*0.975-(G354*INDIRECT("'renta'!G$"&amp;MATCH(F354,renta!$A:$A,0)))/B354-IFERROR((J354*INDIRECT("'renta'!G$"&amp;MATCH(I354,renta!$A:$A,0)))/B354,0),)</f>
        <v>0.91</v>
      </c>
      <c r="E354" s="41">
        <f t="shared" si="1"/>
        <v>0.1516666667</v>
      </c>
      <c r="F354" s="40" t="s">
        <v>45</v>
      </c>
      <c r="G354" s="43">
        <f t="shared" si="2"/>
        <v>1.805</v>
      </c>
      <c r="H354" s="44" t="s">
        <v>1927</v>
      </c>
      <c r="I354" s="79"/>
      <c r="J354" s="40">
        <f t="shared" si="23"/>
        <v>0</v>
      </c>
      <c r="K354" s="79"/>
      <c r="L354" s="38" t="s">
        <v>1928</v>
      </c>
      <c r="M354" s="46">
        <v>47.5</v>
      </c>
      <c r="N354" s="46">
        <v>450.0</v>
      </c>
      <c r="O354" s="42" t="s">
        <v>34</v>
      </c>
      <c r="P354" s="46">
        <v>12.0</v>
      </c>
      <c r="Q354" s="48">
        <f t="shared" ref="Q354:Q363" si="33">SUM(P$354:P354)</f>
        <v>12</v>
      </c>
      <c r="R354" s="47">
        <f t="array" ref="R354">INDIRECT("'renta'!G$"&amp;MATCH(O354,renta!$A:$A,0))*P354</f>
        <v>1592.185836</v>
      </c>
      <c r="S354" s="48">
        <f t="shared" si="32"/>
        <v>4441.189936</v>
      </c>
      <c r="T354" s="49" t="str">
        <f t="shared" si="25"/>
        <v>GAS</v>
      </c>
      <c r="U354" s="50">
        <f t="shared" si="5"/>
        <v>0.3847388563</v>
      </c>
      <c r="V354" s="80"/>
      <c r="W354" s="52" t="str">
        <f t="shared" si="6"/>
        <v/>
      </c>
      <c r="X354" s="52"/>
      <c r="Y354" s="80">
        <v>0.0</v>
      </c>
      <c r="Z354" s="39">
        <v>-0.0625</v>
      </c>
      <c r="AA354" s="53">
        <v>0.1</v>
      </c>
      <c r="AB354" s="111">
        <v>46145.0</v>
      </c>
      <c r="AC354" s="54" t="s">
        <v>1929</v>
      </c>
      <c r="AD354" s="50"/>
      <c r="AE354" s="83"/>
      <c r="AF354" s="40" t="s">
        <v>806</v>
      </c>
      <c r="AG354" s="40" t="s">
        <v>1930</v>
      </c>
      <c r="AH354" s="87">
        <v>9.0</v>
      </c>
      <c r="AI354" s="38">
        <v>0.25</v>
      </c>
    </row>
    <row r="355">
      <c r="A355" s="58" t="s">
        <v>1931</v>
      </c>
      <c r="B355" s="59">
        <v>1.0</v>
      </c>
      <c r="C355" s="60">
        <v>0.5833333333333334</v>
      </c>
      <c r="D355" s="61">
        <f t="array" ref="D355">IFERROR(INDIRECT("'renta'!G$"&amp;MATCH(T355,renta!$A:$A,0))*0.975-(G355*INDIRECT("'renta'!G$"&amp;MATCH(F355,renta!$A:$A,0)))/B355-IFERROR((J355*INDIRECT("'renta'!G$"&amp;MATCH(I355,renta!$A:$A,0)))/B355,0),)</f>
        <v>2.886</v>
      </c>
      <c r="E355" s="41">
        <f t="shared" si="1"/>
        <v>0.5153571429</v>
      </c>
      <c r="F355" s="61" t="s">
        <v>45</v>
      </c>
      <c r="G355" s="62">
        <f t="shared" si="2"/>
        <v>1.7955</v>
      </c>
      <c r="H355" s="63" t="s">
        <v>1932</v>
      </c>
      <c r="I355" s="64"/>
      <c r="J355" s="61">
        <f t="shared" si="23"/>
        <v>0</v>
      </c>
      <c r="K355" s="64"/>
      <c r="L355" s="59" t="s">
        <v>1933</v>
      </c>
      <c r="M355" s="65">
        <v>47.5</v>
      </c>
      <c r="N355" s="65">
        <v>450.0</v>
      </c>
      <c r="O355" s="66" t="s">
        <v>34</v>
      </c>
      <c r="P355" s="65">
        <v>15.0</v>
      </c>
      <c r="Q355" s="68">
        <f t="shared" si="33"/>
        <v>27</v>
      </c>
      <c r="R355" s="67">
        <f t="array" ref="R355">INDIRECT("'renta'!G$"&amp;MATCH(O355,renta!$A:$A,0))*P355</f>
        <v>1990.232295</v>
      </c>
      <c r="S355" s="68">
        <f t="shared" si="32"/>
        <v>6431.422231</v>
      </c>
      <c r="T355" s="69" t="str">
        <f t="shared" si="25"/>
        <v>GAS</v>
      </c>
      <c r="U355" s="70">
        <f t="shared" si="5"/>
        <v>0.1827377021</v>
      </c>
      <c r="V355" s="71"/>
      <c r="W355" s="72" t="str">
        <f t="shared" si="6"/>
        <v/>
      </c>
      <c r="X355" s="72"/>
      <c r="Y355" s="71">
        <v>0.0</v>
      </c>
      <c r="Z355" s="60">
        <v>-0.041666666666666664</v>
      </c>
      <c r="AA355" s="85" t="s">
        <v>1007</v>
      </c>
      <c r="AB355" s="74" t="s">
        <v>1934</v>
      </c>
      <c r="AC355" s="75" t="s">
        <v>1935</v>
      </c>
      <c r="AD355" s="70"/>
      <c r="AE355" s="76"/>
      <c r="AF355" s="61" t="s">
        <v>806</v>
      </c>
      <c r="AG355" s="61" t="s">
        <v>1936</v>
      </c>
      <c r="AH355" s="86">
        <v>9.0</v>
      </c>
      <c r="AI355" s="59">
        <v>0.25</v>
      </c>
    </row>
    <row r="356">
      <c r="A356" s="78" t="s">
        <v>1937</v>
      </c>
      <c r="B356" s="38">
        <v>1.0</v>
      </c>
      <c r="C356" s="39">
        <v>0.5416666666666666</v>
      </c>
      <c r="D356" s="40">
        <f t="array" ref="D356">IFERROR(INDIRECT("'renta'!G$"&amp;MATCH(T356,renta!$A:$A,0))*0.975-(G356*INDIRECT("'renta'!G$"&amp;MATCH(F356,renta!$A:$A,0)))/B356-IFERROR((J356*INDIRECT("'renta'!G$"&amp;MATCH(I356,renta!$A:$A,0)))/B356,0),)</f>
        <v>6.838</v>
      </c>
      <c r="E356" s="41">
        <f t="shared" si="1"/>
        <v>1.315</v>
      </c>
      <c r="F356" s="40" t="s">
        <v>45</v>
      </c>
      <c r="G356" s="43">
        <f t="shared" si="2"/>
        <v>1.7765</v>
      </c>
      <c r="H356" s="44" t="s">
        <v>1938</v>
      </c>
      <c r="I356" s="79"/>
      <c r="J356" s="40">
        <f t="shared" si="23"/>
        <v>0</v>
      </c>
      <c r="K356" s="79"/>
      <c r="L356" s="38" t="s">
        <v>1939</v>
      </c>
      <c r="M356" s="46">
        <v>47.5</v>
      </c>
      <c r="N356" s="46">
        <v>450.0</v>
      </c>
      <c r="O356" s="42" t="s">
        <v>34</v>
      </c>
      <c r="P356" s="46">
        <v>20.0</v>
      </c>
      <c r="Q356" s="48">
        <f t="shared" si="33"/>
        <v>47</v>
      </c>
      <c r="R356" s="47">
        <f t="array" ref="R356">INDIRECT("'renta'!G$"&amp;MATCH(O356,renta!$A:$A,0))*P356</f>
        <v>2653.64306</v>
      </c>
      <c r="S356" s="48">
        <f t="shared" si="32"/>
        <v>9085.065292</v>
      </c>
      <c r="T356" s="49" t="str">
        <f t="shared" si="25"/>
        <v>GAS</v>
      </c>
      <c r="U356" s="50">
        <f t="shared" si="5"/>
        <v>0.3013377606</v>
      </c>
      <c r="V356" s="80"/>
      <c r="W356" s="52" t="str">
        <f t="shared" si="6"/>
        <v/>
      </c>
      <c r="X356" s="52"/>
      <c r="Y356" s="80">
        <v>0.0</v>
      </c>
      <c r="Z356" s="39">
        <v>-0.041666666666666664</v>
      </c>
      <c r="AA356" s="81" t="s">
        <v>430</v>
      </c>
      <c r="AB356" s="82" t="s">
        <v>1940</v>
      </c>
      <c r="AC356" s="54" t="s">
        <v>1941</v>
      </c>
      <c r="AD356" s="50"/>
      <c r="AE356" s="83"/>
      <c r="AF356" s="40" t="s">
        <v>806</v>
      </c>
      <c r="AG356" s="40" t="s">
        <v>1942</v>
      </c>
      <c r="AH356" s="87">
        <v>9.0</v>
      </c>
      <c r="AI356" s="38">
        <v>0.25</v>
      </c>
    </row>
    <row r="357">
      <c r="A357" s="58" t="s">
        <v>1943</v>
      </c>
      <c r="B357" s="59">
        <v>1.0</v>
      </c>
      <c r="C357" s="60">
        <v>0.5</v>
      </c>
      <c r="D357" s="61">
        <f t="array" ref="D357">IFERROR(INDIRECT("'renta'!G$"&amp;MATCH(T357,renta!$A:$A,0))*0.975-(G357*INDIRECT("'renta'!G$"&amp;MATCH(F357,renta!$A:$A,0)))/B357-IFERROR((J357*INDIRECT("'renta'!G$"&amp;MATCH(I357,renta!$A:$A,0)))/B357,0),)</f>
        <v>10.79</v>
      </c>
      <c r="E357" s="41">
        <f t="shared" si="1"/>
        <v>2.247916667</v>
      </c>
      <c r="F357" s="61" t="s">
        <v>45</v>
      </c>
      <c r="G357" s="62">
        <f t="shared" si="2"/>
        <v>1.7575</v>
      </c>
      <c r="H357" s="63" t="s">
        <v>1944</v>
      </c>
      <c r="I357" s="64"/>
      <c r="J357" s="61">
        <f t="shared" si="23"/>
        <v>0</v>
      </c>
      <c r="K357" s="64"/>
      <c r="L357" s="59" t="s">
        <v>1945</v>
      </c>
      <c r="M357" s="65">
        <v>47.5</v>
      </c>
      <c r="N357" s="65">
        <v>450.0</v>
      </c>
      <c r="O357" s="66" t="s">
        <v>34</v>
      </c>
      <c r="P357" s="65">
        <v>27.0</v>
      </c>
      <c r="Q357" s="68">
        <f t="shared" si="33"/>
        <v>74</v>
      </c>
      <c r="R357" s="67">
        <f t="array" ref="R357">INDIRECT("'renta'!G$"&amp;MATCH(O357,renta!$A:$A,0))*P357</f>
        <v>3582.418131</v>
      </c>
      <c r="S357" s="68">
        <f t="shared" si="32"/>
        <v>12667.48342</v>
      </c>
      <c r="T357" s="69" t="str">
        <f t="shared" si="25"/>
        <v>GAS</v>
      </c>
      <c r="U357" s="70">
        <f t="shared" si="5"/>
        <v>0.2604153486</v>
      </c>
      <c r="V357" s="71"/>
      <c r="W357" s="72" t="str">
        <f t="shared" si="6"/>
        <v/>
      </c>
      <c r="X357" s="72"/>
      <c r="Y357" s="71">
        <v>0.0</v>
      </c>
      <c r="Z357" s="60">
        <v>-0.041666666666666664</v>
      </c>
      <c r="AA357" s="85" t="s">
        <v>1918</v>
      </c>
      <c r="AB357" s="74" t="s">
        <v>1946</v>
      </c>
      <c r="AC357" s="75" t="s">
        <v>1947</v>
      </c>
      <c r="AD357" s="70"/>
      <c r="AE357" s="76"/>
      <c r="AF357" s="61" t="s">
        <v>806</v>
      </c>
      <c r="AG357" s="61" t="s">
        <v>1948</v>
      </c>
      <c r="AH357" s="86">
        <v>9.0</v>
      </c>
      <c r="AI357" s="59">
        <v>0.25</v>
      </c>
    </row>
    <row r="358">
      <c r="A358" s="78" t="s">
        <v>1949</v>
      </c>
      <c r="B358" s="38">
        <v>2.0</v>
      </c>
      <c r="C358" s="39">
        <v>0.8333333333333334</v>
      </c>
      <c r="D358" s="40">
        <f t="array" ref="D358">IFERROR(INDIRECT("'renta'!G$"&amp;MATCH(T358,renta!$A:$A,0))*0.975-(G358*INDIRECT("'renta'!G$"&amp;MATCH(F358,renta!$A:$A,0)))/B358-IFERROR((J358*INDIRECT("'renta'!G$"&amp;MATCH(I358,renta!$A:$A,0)))/B358,0),)</f>
        <v>13.754</v>
      </c>
      <c r="E358" s="41">
        <f t="shared" si="1"/>
        <v>3.4385</v>
      </c>
      <c r="F358" s="40" t="s">
        <v>45</v>
      </c>
      <c r="G358" s="43">
        <f t="shared" si="2"/>
        <v>3.4865</v>
      </c>
      <c r="H358" s="44" t="s">
        <v>1950</v>
      </c>
      <c r="I358" s="79"/>
      <c r="J358" s="40">
        <f t="shared" si="23"/>
        <v>0</v>
      </c>
      <c r="K358" s="79"/>
      <c r="L358" s="38" t="s">
        <v>1951</v>
      </c>
      <c r="M358" s="46">
        <v>93.5</v>
      </c>
      <c r="N358" s="46">
        <v>450.0</v>
      </c>
      <c r="O358" s="42" t="s">
        <v>34</v>
      </c>
      <c r="P358" s="46">
        <v>36.0</v>
      </c>
      <c r="Q358" s="48">
        <f t="shared" si="33"/>
        <v>110</v>
      </c>
      <c r="R358" s="47">
        <f t="array" ref="R358">INDIRECT("'renta'!G$"&amp;MATCH(O358,renta!$A:$A,0))*P358</f>
        <v>4776.557508</v>
      </c>
      <c r="S358" s="48">
        <f t="shared" si="32"/>
        <v>17444.04093</v>
      </c>
      <c r="T358" s="49" t="str">
        <f t="shared" si="25"/>
        <v>GAS</v>
      </c>
      <c r="U358" s="50">
        <f t="shared" si="5"/>
        <v>0.2492555216</v>
      </c>
      <c r="V358" s="80"/>
      <c r="W358" s="52" t="str">
        <f t="shared" si="6"/>
        <v/>
      </c>
      <c r="X358" s="52"/>
      <c r="Y358" s="80">
        <v>1.0</v>
      </c>
      <c r="Z358" s="39">
        <v>0.3333333333333333</v>
      </c>
      <c r="AA358" s="53">
        <v>0.2</v>
      </c>
      <c r="AB358" s="82" t="s">
        <v>1952</v>
      </c>
      <c r="AC358" s="54" t="s">
        <v>1953</v>
      </c>
      <c r="AD358" s="50"/>
      <c r="AE358" s="83"/>
      <c r="AF358" s="40" t="s">
        <v>806</v>
      </c>
      <c r="AG358" s="40" t="s">
        <v>1954</v>
      </c>
      <c r="AH358" s="87">
        <v>10.0</v>
      </c>
      <c r="AI358" s="38">
        <v>0.25</v>
      </c>
    </row>
    <row r="359">
      <c r="A359" s="58" t="s">
        <v>1955</v>
      </c>
      <c r="B359" s="59">
        <v>2.0</v>
      </c>
      <c r="C359" s="60">
        <v>0.6666666666666666</v>
      </c>
      <c r="D359" s="61">
        <f t="array" ref="D359">IFERROR(INDIRECT("'renta'!G$"&amp;MATCH(T359,renta!$A:$A,0))*0.975-(G359*INDIRECT("'renta'!G$"&amp;MATCH(F359,renta!$A:$A,0)))/B359-IFERROR((J359*INDIRECT("'renta'!G$"&amp;MATCH(I359,renta!$A:$A,0)))/B359,0),)</f>
        <v>16.718</v>
      </c>
      <c r="E359" s="41">
        <f t="shared" si="1"/>
        <v>5.224375</v>
      </c>
      <c r="F359" s="61" t="s">
        <v>45</v>
      </c>
      <c r="G359" s="62">
        <f t="shared" si="2"/>
        <v>3.458</v>
      </c>
      <c r="H359" s="63" t="s">
        <v>1956</v>
      </c>
      <c r="I359" s="64"/>
      <c r="J359" s="61">
        <f t="shared" si="23"/>
        <v>0</v>
      </c>
      <c r="K359" s="64"/>
      <c r="L359" s="59" t="s">
        <v>1957</v>
      </c>
      <c r="M359" s="65">
        <v>93.5</v>
      </c>
      <c r="N359" s="65">
        <v>450.0</v>
      </c>
      <c r="O359" s="66" t="s">
        <v>34</v>
      </c>
      <c r="P359" s="65">
        <v>48.0</v>
      </c>
      <c r="Q359" s="68">
        <f t="shared" si="33"/>
        <v>158</v>
      </c>
      <c r="R359" s="67">
        <f t="array" ref="R359">INDIRECT("'renta'!G$"&amp;MATCH(O359,renta!$A:$A,0))*P359</f>
        <v>6368.743345</v>
      </c>
      <c r="S359" s="68">
        <f t="shared" si="32"/>
        <v>23812.78428</v>
      </c>
      <c r="T359" s="69" t="str">
        <f t="shared" si="25"/>
        <v>GAS</v>
      </c>
      <c r="U359" s="70">
        <f t="shared" si="5"/>
        <v>0.2804124618</v>
      </c>
      <c r="V359" s="71"/>
      <c r="W359" s="72" t="str">
        <f t="shared" si="6"/>
        <v/>
      </c>
      <c r="X359" s="72"/>
      <c r="Y359" s="71">
        <v>0.0</v>
      </c>
      <c r="Z359" s="60">
        <v>-0.16666666666666666</v>
      </c>
      <c r="AA359" s="73">
        <v>0.25</v>
      </c>
      <c r="AB359" s="74" t="s">
        <v>1958</v>
      </c>
      <c r="AC359" s="75" t="s">
        <v>1959</v>
      </c>
      <c r="AD359" s="70"/>
      <c r="AE359" s="76"/>
      <c r="AF359" s="61" t="s">
        <v>806</v>
      </c>
      <c r="AG359" s="61" t="s">
        <v>1960</v>
      </c>
      <c r="AH359" s="86">
        <v>10.0</v>
      </c>
      <c r="AI359" s="59">
        <v>0.25</v>
      </c>
    </row>
    <row r="360">
      <c r="A360" s="78" t="s">
        <v>1961</v>
      </c>
      <c r="B360" s="38">
        <v>2.0</v>
      </c>
      <c r="C360" s="39">
        <v>0.5416666666666666</v>
      </c>
      <c r="D360" s="40">
        <f t="array" ref="D360">IFERROR(INDIRECT("'renta'!G$"&amp;MATCH(T360,renta!$A:$A,0))*0.975-(G360*INDIRECT("'renta'!G$"&amp;MATCH(F360,renta!$A:$A,0)))/B360-IFERROR((J360*INDIRECT("'renta'!G$"&amp;MATCH(I360,renta!$A:$A,0)))/B360,0),)</f>
        <v>20.67</v>
      </c>
      <c r="E360" s="41">
        <f t="shared" si="1"/>
        <v>7.95</v>
      </c>
      <c r="F360" s="40" t="s">
        <v>45</v>
      </c>
      <c r="G360" s="43">
        <f t="shared" si="2"/>
        <v>3.42</v>
      </c>
      <c r="H360" s="44" t="s">
        <v>1962</v>
      </c>
      <c r="I360" s="79"/>
      <c r="J360" s="40">
        <f t="shared" si="23"/>
        <v>0</v>
      </c>
      <c r="K360" s="79"/>
      <c r="L360" s="38" t="s">
        <v>1963</v>
      </c>
      <c r="M360" s="46">
        <v>93.5</v>
      </c>
      <c r="N360" s="46">
        <v>450.0</v>
      </c>
      <c r="O360" s="42" t="s">
        <v>34</v>
      </c>
      <c r="P360" s="46">
        <v>65.0</v>
      </c>
      <c r="Q360" s="48">
        <f t="shared" si="33"/>
        <v>223</v>
      </c>
      <c r="R360" s="47">
        <f t="array" ref="R360">INDIRECT("'renta'!G$"&amp;MATCH(O360,renta!$A:$A,0))*P360</f>
        <v>8624.339946</v>
      </c>
      <c r="S360" s="48">
        <f t="shared" si="32"/>
        <v>32437.12422</v>
      </c>
      <c r="T360" s="49" t="str">
        <f t="shared" si="25"/>
        <v>GAS</v>
      </c>
      <c r="U360" s="50">
        <f t="shared" si="5"/>
        <v>0.3160386786</v>
      </c>
      <c r="V360" s="80"/>
      <c r="W360" s="52" t="str">
        <f t="shared" si="6"/>
        <v/>
      </c>
      <c r="X360" s="52"/>
      <c r="Y360" s="80">
        <v>0.0</v>
      </c>
      <c r="Z360" s="39">
        <v>-0.125</v>
      </c>
      <c r="AA360" s="81" t="s">
        <v>1374</v>
      </c>
      <c r="AB360" s="82" t="s">
        <v>1964</v>
      </c>
      <c r="AC360" s="54" t="s">
        <v>1965</v>
      </c>
      <c r="AD360" s="50"/>
      <c r="AE360" s="83"/>
      <c r="AF360" s="40" t="s">
        <v>806</v>
      </c>
      <c r="AG360" s="40" t="s">
        <v>1966</v>
      </c>
      <c r="AH360" s="87">
        <v>10.0</v>
      </c>
      <c r="AI360" s="38">
        <v>0.25</v>
      </c>
    </row>
    <row r="361">
      <c r="A361" s="58" t="s">
        <v>1967</v>
      </c>
      <c r="B361" s="59">
        <v>2.0</v>
      </c>
      <c r="C361" s="60">
        <v>0.4166666666666667</v>
      </c>
      <c r="D361" s="61">
        <f t="array" ref="D361">IFERROR(INDIRECT("'renta'!G$"&amp;MATCH(T361,renta!$A:$A,0))*0.975-(G361*INDIRECT("'renta'!G$"&amp;MATCH(F361,renta!$A:$A,0)))/B361-IFERROR((J361*INDIRECT("'renta'!G$"&amp;MATCH(I361,renta!$A:$A,0)))/B361,0),)</f>
        <v>23.634</v>
      </c>
      <c r="E361" s="41">
        <f t="shared" si="1"/>
        <v>11.817</v>
      </c>
      <c r="F361" s="61" t="s">
        <v>45</v>
      </c>
      <c r="G361" s="62">
        <f t="shared" si="2"/>
        <v>3.3915</v>
      </c>
      <c r="H361" s="63" t="s">
        <v>1968</v>
      </c>
      <c r="I361" s="64"/>
      <c r="J361" s="61">
        <f t="shared" si="23"/>
        <v>0</v>
      </c>
      <c r="K361" s="64"/>
      <c r="L361" s="59" t="s">
        <v>1969</v>
      </c>
      <c r="M361" s="65">
        <v>93.5</v>
      </c>
      <c r="N361" s="65">
        <v>450.0</v>
      </c>
      <c r="O361" s="66" t="s">
        <v>34</v>
      </c>
      <c r="P361" s="65">
        <v>87.0</v>
      </c>
      <c r="Q361" s="68">
        <f t="shared" si="33"/>
        <v>310</v>
      </c>
      <c r="R361" s="67">
        <f t="array" ref="R361">INDIRECT("'renta'!G$"&amp;MATCH(O361,renta!$A:$A,0))*P361</f>
        <v>11543.34731</v>
      </c>
      <c r="S361" s="68">
        <f t="shared" si="32"/>
        <v>43980.47153</v>
      </c>
      <c r="T361" s="69" t="str">
        <f t="shared" si="25"/>
        <v>GAS</v>
      </c>
      <c r="U361" s="70">
        <f t="shared" si="5"/>
        <v>0.3349981505</v>
      </c>
      <c r="V361" s="71"/>
      <c r="W361" s="72" t="str">
        <f t="shared" si="6"/>
        <v/>
      </c>
      <c r="X361" s="72"/>
      <c r="Y361" s="71">
        <v>0.0</v>
      </c>
      <c r="Z361" s="60">
        <v>-0.125</v>
      </c>
      <c r="AA361" s="73">
        <v>0.3</v>
      </c>
      <c r="AB361" s="74" t="s">
        <v>1970</v>
      </c>
      <c r="AC361" s="75" t="s">
        <v>1970</v>
      </c>
      <c r="AD361" s="70"/>
      <c r="AE361" s="76"/>
      <c r="AF361" s="61" t="s">
        <v>806</v>
      </c>
      <c r="AG361" s="61" t="s">
        <v>1891</v>
      </c>
      <c r="AH361" s="86">
        <v>10.0</v>
      </c>
      <c r="AI361" s="59">
        <v>0.25</v>
      </c>
    </row>
    <row r="362">
      <c r="A362" s="78" t="s">
        <v>1971</v>
      </c>
      <c r="B362" s="38">
        <v>2.0</v>
      </c>
      <c r="C362" s="39">
        <v>0.3333333333333333</v>
      </c>
      <c r="D362" s="40">
        <f t="array" ref="D362">IFERROR(INDIRECT("'renta'!G$"&amp;MATCH(T362,renta!$A:$A,0))*0.975-(G362*INDIRECT("'renta'!G$"&amp;MATCH(F362,renta!$A:$A,0)))/B362-IFERROR((J362*INDIRECT("'renta'!G$"&amp;MATCH(I362,renta!$A:$A,0)))/B362,0),)</f>
        <v>26.598</v>
      </c>
      <c r="E362" s="41">
        <f t="shared" si="1"/>
        <v>16.62375</v>
      </c>
      <c r="F362" s="40" t="s">
        <v>45</v>
      </c>
      <c r="G362" s="43">
        <f t="shared" si="2"/>
        <v>3.363</v>
      </c>
      <c r="H362" s="44" t="s">
        <v>1972</v>
      </c>
      <c r="I362" s="79"/>
      <c r="J362" s="40">
        <f t="shared" si="23"/>
        <v>0</v>
      </c>
      <c r="K362" s="79"/>
      <c r="L362" s="38" t="s">
        <v>1973</v>
      </c>
      <c r="M362" s="46">
        <v>93.5</v>
      </c>
      <c r="N362" s="46">
        <v>450.0</v>
      </c>
      <c r="O362" s="42" t="s">
        <v>34</v>
      </c>
      <c r="P362" s="46">
        <v>118.0</v>
      </c>
      <c r="Q362" s="48">
        <f t="shared" si="33"/>
        <v>428</v>
      </c>
      <c r="R362" s="47">
        <f t="array" ref="R362">INDIRECT("'renta'!G$"&amp;MATCH(O362,renta!$A:$A,0))*P362</f>
        <v>15656.49406</v>
      </c>
      <c r="S362" s="48">
        <f t="shared" si="32"/>
        <v>59636.96559</v>
      </c>
      <c r="T362" s="49" t="str">
        <f t="shared" si="25"/>
        <v>GAS</v>
      </c>
      <c r="U362" s="50">
        <f t="shared" si="5"/>
        <v>0.3070131782</v>
      </c>
      <c r="V362" s="80"/>
      <c r="W362" s="52" t="str">
        <f t="shared" si="6"/>
        <v/>
      </c>
      <c r="X362" s="52"/>
      <c r="Y362" s="80">
        <v>0.0</v>
      </c>
      <c r="Z362" s="39">
        <v>-0.08333333333333333</v>
      </c>
      <c r="AA362" s="53">
        <v>0.25</v>
      </c>
      <c r="AB362" s="82" t="s">
        <v>1974</v>
      </c>
      <c r="AC362" s="54" t="s">
        <v>1246</v>
      </c>
      <c r="AD362" s="50"/>
      <c r="AE362" s="83"/>
      <c r="AF362" s="40" t="s">
        <v>806</v>
      </c>
      <c r="AG362" s="40" t="s">
        <v>1975</v>
      </c>
      <c r="AH362" s="87">
        <v>10.0</v>
      </c>
      <c r="AI362" s="38">
        <v>0.25</v>
      </c>
    </row>
    <row r="363">
      <c r="A363" s="58" t="s">
        <v>49</v>
      </c>
      <c r="B363" s="59">
        <v>3.0</v>
      </c>
      <c r="C363" s="60">
        <v>0.3333333333333333</v>
      </c>
      <c r="D363" s="61">
        <f t="array" ref="D363">IFERROR(INDIRECT("'renta'!G$"&amp;MATCH(T363,renta!$A:$A,0))*0.975-(G363*INDIRECT("'renta'!G$"&amp;MATCH(F363,renta!$A:$A,0)))/B363-IFERROR((J363*INDIRECT("'renta'!G$"&amp;MATCH(I363,renta!$A:$A,0)))/B363,0),)</f>
        <v>32.526</v>
      </c>
      <c r="E363" s="41">
        <f t="shared" si="1"/>
        <v>30.493125</v>
      </c>
      <c r="F363" s="61" t="s">
        <v>45</v>
      </c>
      <c r="G363" s="62">
        <f t="shared" si="2"/>
        <v>4.959</v>
      </c>
      <c r="H363" s="63" t="s">
        <v>1976</v>
      </c>
      <c r="I363" s="64"/>
      <c r="J363" s="61">
        <f t="shared" si="23"/>
        <v>0</v>
      </c>
      <c r="K363" s="64"/>
      <c r="L363" s="59" t="s">
        <v>1366</v>
      </c>
      <c r="M363" s="65">
        <v>138.0</v>
      </c>
      <c r="N363" s="65">
        <v>450.0</v>
      </c>
      <c r="O363" s="66" t="s">
        <v>34</v>
      </c>
      <c r="P363" s="65">
        <v>160.0</v>
      </c>
      <c r="Q363" s="68">
        <f t="shared" si="33"/>
        <v>588</v>
      </c>
      <c r="R363" s="67">
        <f t="array" ref="R363">INDIRECT("'renta'!G$"&amp;MATCH(O363,renta!$A:$A,0))*P363</f>
        <v>21229.14448</v>
      </c>
      <c r="S363" s="68">
        <f t="shared" si="32"/>
        <v>80866.11007</v>
      </c>
      <c r="T363" s="69" t="str">
        <f t="shared" si="25"/>
        <v>GAS</v>
      </c>
      <c r="U363" s="70">
        <f t="shared" si="5"/>
        <v>0.6533176602</v>
      </c>
      <c r="V363" s="71">
        <v>138.0</v>
      </c>
      <c r="W363" s="72">
        <f t="shared" si="6"/>
        <v>0.7070869565</v>
      </c>
      <c r="X363" s="72"/>
      <c r="Y363" s="71">
        <v>1.0</v>
      </c>
      <c r="Z363" s="60">
        <v>0.0</v>
      </c>
      <c r="AA363" s="73">
        <v>0.5</v>
      </c>
      <c r="AB363" s="74" t="s">
        <v>1977</v>
      </c>
      <c r="AC363" s="75" t="s">
        <v>1761</v>
      </c>
      <c r="AD363" s="70"/>
      <c r="AE363" s="76"/>
      <c r="AF363" s="61" t="s">
        <v>806</v>
      </c>
      <c r="AG363" s="61" t="s">
        <v>1978</v>
      </c>
      <c r="AH363" s="86">
        <v>10.0</v>
      </c>
      <c r="AI363" s="59">
        <v>0.25</v>
      </c>
    </row>
    <row r="364">
      <c r="A364" s="88"/>
      <c r="B364" s="89"/>
      <c r="C364" s="90"/>
      <c r="D364" s="40" t="str">
        <f t="array" ref="D364">IFERROR(INDIRECT("'renta'!G$"&amp;MATCH(T364,renta!$A:$A,0))*0.975-(G364*INDIRECT("'renta'!G$"&amp;MATCH(F364,renta!$A:$A,0)))/B364-IFERROR((J364*INDIRECT("'renta'!G$"&amp;MATCH(I364,renta!$A:$A,0)))/B364,0),)</f>
        <v/>
      </c>
      <c r="E364" s="41">
        <f t="shared" si="1"/>
        <v>0</v>
      </c>
      <c r="F364" s="79"/>
      <c r="G364" s="43">
        <f t="shared" si="2"/>
        <v>0</v>
      </c>
      <c r="H364" s="91"/>
      <c r="I364" s="79"/>
      <c r="J364" s="40">
        <f t="shared" si="23"/>
        <v>0</v>
      </c>
      <c r="K364" s="79"/>
      <c r="L364" s="92"/>
      <c r="M364" s="93"/>
      <c r="N364" s="93"/>
      <c r="O364" s="45"/>
      <c r="P364" s="93"/>
      <c r="Q364" s="93"/>
      <c r="R364" s="47"/>
      <c r="S364" s="48"/>
      <c r="T364" s="49" t="str">
        <f t="shared" si="25"/>
        <v/>
      </c>
      <c r="U364" s="50" t="str">
        <f t="shared" si="5"/>
        <v>#DIV/0!</v>
      </c>
      <c r="V364" s="94"/>
      <c r="W364" s="52" t="str">
        <f t="shared" si="6"/>
        <v/>
      </c>
      <c r="X364" s="52"/>
      <c r="Y364" s="94"/>
      <c r="Z364" s="90"/>
      <c r="AA364" s="95"/>
      <c r="AB364" s="50"/>
      <c r="AC364" s="83"/>
      <c r="AD364" s="50"/>
      <c r="AE364" s="83"/>
      <c r="AF364" s="79"/>
      <c r="AG364" s="79"/>
      <c r="AH364" s="84"/>
      <c r="AI364" s="90"/>
    </row>
    <row r="365">
      <c r="A365" s="58" t="s">
        <v>1979</v>
      </c>
      <c r="B365" s="59">
        <v>1.0</v>
      </c>
      <c r="C365" s="60">
        <v>1.1666666666666667</v>
      </c>
      <c r="D365" s="61">
        <f t="array" ref="D365">IFERROR(INDIRECT("'renta'!G$"&amp;MATCH(T365,renta!$A:$A,0))*0.975-(G365*INDIRECT("'renta'!G$"&amp;MATCH(F365,renta!$A:$A,0)))/B365-IFERROR((J365*INDIRECT("'renta'!G$"&amp;MATCH(I365,renta!$A:$A,0)))/B365,0),)</f>
        <v>18.44663136</v>
      </c>
      <c r="E365" s="41">
        <f t="shared" si="1"/>
        <v>1.436202013</v>
      </c>
      <c r="F365" s="61" t="s">
        <v>27</v>
      </c>
      <c r="G365" s="62">
        <f t="shared" si="2"/>
        <v>9.5</v>
      </c>
      <c r="H365" s="63" t="s">
        <v>398</v>
      </c>
      <c r="I365" s="61" t="s">
        <v>41</v>
      </c>
      <c r="J365" s="61">
        <f t="shared" si="23"/>
        <v>2.85</v>
      </c>
      <c r="K365" s="61">
        <v>3.0</v>
      </c>
      <c r="L365" s="59" t="s">
        <v>137</v>
      </c>
      <c r="M365" s="65">
        <v>63.35</v>
      </c>
      <c r="N365" s="65">
        <v>575.0</v>
      </c>
      <c r="O365" s="66" t="s">
        <v>12</v>
      </c>
      <c r="P365" s="65">
        <v>1.0</v>
      </c>
      <c r="Q365" s="65"/>
      <c r="R365" s="67">
        <f t="array" ref="R365">INDIRECT("'renta'!G$"&amp;MATCH(O365,renta!$A:$A,0))*P365</f>
        <v>0.0041</v>
      </c>
      <c r="S365" s="68">
        <f t="shared" ref="S365:S379" si="34">SUM(R$365:R365)</f>
        <v>0.0041</v>
      </c>
      <c r="T365" s="69" t="str">
        <f t="shared" si="25"/>
        <v>STONE</v>
      </c>
      <c r="U365" s="70">
        <f t="shared" si="5"/>
        <v>350293.174</v>
      </c>
      <c r="V365" s="71">
        <v>63.4</v>
      </c>
      <c r="W365" s="72">
        <f t="shared" si="6"/>
        <v>0.2909563306</v>
      </c>
      <c r="X365" s="72"/>
      <c r="Y365" s="71">
        <v>0.0</v>
      </c>
      <c r="Z365" s="60">
        <v>0.0</v>
      </c>
      <c r="AA365" s="73">
        <v>0.0</v>
      </c>
      <c r="AB365" s="74" t="s">
        <v>1970</v>
      </c>
      <c r="AC365" s="75" t="s">
        <v>1258</v>
      </c>
      <c r="AD365" s="74" t="s">
        <v>1980</v>
      </c>
      <c r="AE365" s="75" t="s">
        <v>154</v>
      </c>
      <c r="AF365" s="61" t="s">
        <v>806</v>
      </c>
      <c r="AG365" s="61" t="s">
        <v>1981</v>
      </c>
      <c r="AH365" s="86">
        <v>9.0</v>
      </c>
      <c r="AI365" s="59">
        <v>0.09</v>
      </c>
    </row>
    <row r="366">
      <c r="A366" s="78" t="s">
        <v>1982</v>
      </c>
      <c r="B366" s="38">
        <v>1.0</v>
      </c>
      <c r="C366" s="39">
        <v>1.0416666666666667</v>
      </c>
      <c r="D366" s="40">
        <f t="array" ref="D366">IFERROR(INDIRECT("'renta'!G$"&amp;MATCH(T366,renta!$A:$A,0))*0.975-(G366*INDIRECT("'renta'!G$"&amp;MATCH(F366,renta!$A:$A,0)))/B366-IFERROR((J366*INDIRECT("'renta'!G$"&amp;MATCH(I366,renta!$A:$A,0)))/B366,0),)</f>
        <v>21.26148136</v>
      </c>
      <c r="E366" s="41">
        <f t="shared" si="1"/>
        <v>1.854001175</v>
      </c>
      <c r="F366" s="40" t="s">
        <v>27</v>
      </c>
      <c r="G366" s="43">
        <f t="shared" si="2"/>
        <v>9.405</v>
      </c>
      <c r="H366" s="44" t="s">
        <v>1124</v>
      </c>
      <c r="I366" s="40" t="s">
        <v>41</v>
      </c>
      <c r="J366" s="40">
        <f t="shared" si="23"/>
        <v>2.8215</v>
      </c>
      <c r="K366" s="40">
        <v>2.97</v>
      </c>
      <c r="L366" s="38" t="s">
        <v>1903</v>
      </c>
      <c r="M366" s="46">
        <v>63.35</v>
      </c>
      <c r="N366" s="46">
        <v>575.0</v>
      </c>
      <c r="O366" s="42" t="s">
        <v>30</v>
      </c>
      <c r="P366" s="46">
        <v>13.0</v>
      </c>
      <c r="Q366" s="46"/>
      <c r="R366" s="47">
        <f t="array" ref="R366">INDIRECT("'renta'!G$"&amp;MATCH(O366,renta!$A:$A,0))*P366</f>
        <v>481</v>
      </c>
      <c r="S366" s="48">
        <f t="shared" si="34"/>
        <v>481.0041</v>
      </c>
      <c r="T366" s="49" t="str">
        <f t="shared" si="25"/>
        <v>STONE</v>
      </c>
      <c r="U366" s="50">
        <f t="shared" si="5"/>
        <v>0.8686053256</v>
      </c>
      <c r="V366" s="80">
        <v>63.4</v>
      </c>
      <c r="W366" s="52">
        <f t="shared" si="6"/>
        <v>0.3353545956</v>
      </c>
      <c r="X366" s="52"/>
      <c r="Y366" s="80">
        <v>0.0</v>
      </c>
      <c r="Z366" s="39">
        <v>-0.125</v>
      </c>
      <c r="AA366" s="53">
        <v>0.12</v>
      </c>
      <c r="AB366" s="82" t="s">
        <v>1983</v>
      </c>
      <c r="AC366" s="54" t="s">
        <v>1608</v>
      </c>
      <c r="AD366" s="82" t="s">
        <v>1984</v>
      </c>
      <c r="AE366" s="54" t="s">
        <v>1716</v>
      </c>
      <c r="AF366" s="40" t="s">
        <v>806</v>
      </c>
      <c r="AG366" s="40" t="s">
        <v>1985</v>
      </c>
      <c r="AH366" s="87">
        <v>9.0</v>
      </c>
      <c r="AI366" s="38">
        <v>0.09</v>
      </c>
    </row>
    <row r="367">
      <c r="A367" s="58" t="s">
        <v>1986</v>
      </c>
      <c r="B367" s="59">
        <v>1.0</v>
      </c>
      <c r="C367" s="60">
        <v>0.9375</v>
      </c>
      <c r="D367" s="61">
        <f t="array" ref="D367">IFERROR(INDIRECT("'renta'!G$"&amp;MATCH(T367,renta!$A:$A,0))*0.975-(G367*INDIRECT("'renta'!G$"&amp;MATCH(F367,renta!$A:$A,0)))/B367-IFERROR((J367*INDIRECT("'renta'!G$"&amp;MATCH(I367,renta!$A:$A,0)))/B367,0),)</f>
        <v>24.07633136</v>
      </c>
      <c r="E367" s="41">
        <f t="shared" si="1"/>
        <v>2.332728994</v>
      </c>
      <c r="F367" s="61" t="s">
        <v>27</v>
      </c>
      <c r="G367" s="62">
        <f t="shared" si="2"/>
        <v>9.31</v>
      </c>
      <c r="H367" s="63" t="s">
        <v>1987</v>
      </c>
      <c r="I367" s="61" t="s">
        <v>41</v>
      </c>
      <c r="J367" s="61">
        <f t="shared" si="23"/>
        <v>2.793</v>
      </c>
      <c r="K367" s="61">
        <v>2.94</v>
      </c>
      <c r="L367" s="59" t="s">
        <v>1910</v>
      </c>
      <c r="M367" s="65">
        <v>63.35</v>
      </c>
      <c r="N367" s="65">
        <v>575.0</v>
      </c>
      <c r="O367" s="66" t="s">
        <v>30</v>
      </c>
      <c r="P367" s="65">
        <v>16.0</v>
      </c>
      <c r="Q367" s="65"/>
      <c r="R367" s="67">
        <f t="array" ref="R367">INDIRECT("'renta'!G$"&amp;MATCH(O367,renta!$A:$A,0))*P367</f>
        <v>592</v>
      </c>
      <c r="S367" s="68">
        <f t="shared" si="34"/>
        <v>1073.0041</v>
      </c>
      <c r="T367" s="69" t="str">
        <f t="shared" si="25"/>
        <v>STONE</v>
      </c>
      <c r="U367" s="70">
        <f t="shared" si="5"/>
        <v>0.8086618571</v>
      </c>
      <c r="V367" s="71">
        <v>63.4</v>
      </c>
      <c r="W367" s="72">
        <f t="shared" si="6"/>
        <v>0.3797528606</v>
      </c>
      <c r="X367" s="72"/>
      <c r="Y367" s="71">
        <v>0.0</v>
      </c>
      <c r="Z367" s="60">
        <v>-0.10416666666666667</v>
      </c>
      <c r="AA367" s="85" t="s">
        <v>627</v>
      </c>
      <c r="AB367" s="74" t="s">
        <v>1988</v>
      </c>
      <c r="AC367" s="75" t="s">
        <v>1615</v>
      </c>
      <c r="AD367" s="74" t="s">
        <v>1989</v>
      </c>
      <c r="AE367" s="75" t="s">
        <v>1724</v>
      </c>
      <c r="AF367" s="61" t="s">
        <v>806</v>
      </c>
      <c r="AG367" s="61" t="s">
        <v>1990</v>
      </c>
      <c r="AH367" s="86">
        <v>9.0</v>
      </c>
      <c r="AI367" s="59">
        <v>0.09</v>
      </c>
    </row>
    <row r="368">
      <c r="A368" s="78" t="s">
        <v>1991</v>
      </c>
      <c r="B368" s="38">
        <v>1.0</v>
      </c>
      <c r="C368" s="39">
        <v>0.8541666666666666</v>
      </c>
      <c r="D368" s="40">
        <f t="array" ref="D368">IFERROR(INDIRECT("'renta'!G$"&amp;MATCH(T368,renta!$A:$A,0))*0.975-(G368*INDIRECT("'renta'!G$"&amp;MATCH(F368,renta!$A:$A,0)))/B368-IFERROR((J368*INDIRECT("'renta'!G$"&amp;MATCH(I368,renta!$A:$A,0)))/B368,0),)</f>
        <v>26.81204636</v>
      </c>
      <c r="E368" s="41">
        <f t="shared" si="1"/>
        <v>2.851232247</v>
      </c>
      <c r="F368" s="40" t="s">
        <v>27</v>
      </c>
      <c r="G368" s="43">
        <f t="shared" si="2"/>
        <v>9.2245</v>
      </c>
      <c r="H368" s="44" t="s">
        <v>1992</v>
      </c>
      <c r="I368" s="40" t="s">
        <v>41</v>
      </c>
      <c r="J368" s="40">
        <f t="shared" si="23"/>
        <v>2.7645</v>
      </c>
      <c r="K368" s="40">
        <v>2.91</v>
      </c>
      <c r="L368" s="38" t="s">
        <v>1917</v>
      </c>
      <c r="M368" s="46">
        <v>63.35</v>
      </c>
      <c r="N368" s="46">
        <v>575.0</v>
      </c>
      <c r="O368" s="42" t="s">
        <v>30</v>
      </c>
      <c r="P368" s="46">
        <v>21.0</v>
      </c>
      <c r="Q368" s="46"/>
      <c r="R368" s="47">
        <f t="array" ref="R368">INDIRECT("'renta'!G$"&amp;MATCH(O368,renta!$A:$A,0))*P368</f>
        <v>777</v>
      </c>
      <c r="S368" s="48">
        <f t="shared" si="34"/>
        <v>1850.0041</v>
      </c>
      <c r="T368" s="49" t="str">
        <f t="shared" si="25"/>
        <v>STONE</v>
      </c>
      <c r="U368" s="50">
        <f t="shared" si="5"/>
        <v>0.6673143541</v>
      </c>
      <c r="V368" s="80">
        <v>63.4</v>
      </c>
      <c r="W368" s="52">
        <f t="shared" si="6"/>
        <v>0.4229029395</v>
      </c>
      <c r="X368" s="52"/>
      <c r="Y368" s="80">
        <v>0.0</v>
      </c>
      <c r="Z368" s="39">
        <v>-0.08333333333333333</v>
      </c>
      <c r="AA368" s="81" t="s">
        <v>1133</v>
      </c>
      <c r="AB368" s="82" t="s">
        <v>1993</v>
      </c>
      <c r="AC368" s="54" t="s">
        <v>1621</v>
      </c>
      <c r="AD368" s="82" t="s">
        <v>1994</v>
      </c>
      <c r="AE368" s="54" t="s">
        <v>1724</v>
      </c>
      <c r="AF368" s="40" t="s">
        <v>806</v>
      </c>
      <c r="AG368" s="40" t="s">
        <v>1995</v>
      </c>
      <c r="AH368" s="87">
        <v>9.0</v>
      </c>
      <c r="AI368" s="38">
        <v>0.09</v>
      </c>
    </row>
    <row r="369">
      <c r="A369" s="58" t="s">
        <v>1996</v>
      </c>
      <c r="B369" s="59">
        <v>1.0</v>
      </c>
      <c r="C369" s="60">
        <v>0.7916666666666666</v>
      </c>
      <c r="D369" s="61">
        <f t="array" ref="D369">IFERROR(INDIRECT("'renta'!G$"&amp;MATCH(T369,renta!$A:$A,0))*0.975-(G369*INDIRECT("'renta'!G$"&amp;MATCH(F369,renta!$A:$A,0)))/B369-IFERROR((J369*INDIRECT("'renta'!G$"&amp;MATCH(I369,renta!$A:$A,0)))/B369,0),)</f>
        <v>29.54776136</v>
      </c>
      <c r="E369" s="41">
        <f t="shared" si="1"/>
        <v>3.39021683</v>
      </c>
      <c r="F369" s="61" t="s">
        <v>27</v>
      </c>
      <c r="G369" s="62">
        <f t="shared" si="2"/>
        <v>9.139</v>
      </c>
      <c r="H369" s="63" t="s">
        <v>1997</v>
      </c>
      <c r="I369" s="61" t="s">
        <v>41</v>
      </c>
      <c r="J369" s="61">
        <f t="shared" si="23"/>
        <v>2.736</v>
      </c>
      <c r="K369" s="61">
        <v>2.88</v>
      </c>
      <c r="L369" s="59" t="s">
        <v>1922</v>
      </c>
      <c r="M369" s="65">
        <v>63.35</v>
      </c>
      <c r="N369" s="65">
        <v>575.0</v>
      </c>
      <c r="O369" s="66" t="s">
        <v>30</v>
      </c>
      <c r="P369" s="65">
        <v>27.0</v>
      </c>
      <c r="Q369" s="65"/>
      <c r="R369" s="67">
        <f t="array" ref="R369">INDIRECT("'renta'!G$"&amp;MATCH(O369,renta!$A:$A,0))*P369</f>
        <v>999</v>
      </c>
      <c r="S369" s="68">
        <f t="shared" si="34"/>
        <v>2849.0041</v>
      </c>
      <c r="T369" s="69" t="str">
        <f t="shared" si="25"/>
        <v>STONE</v>
      </c>
      <c r="U369" s="70">
        <f t="shared" si="5"/>
        <v>0.5395241068</v>
      </c>
      <c r="V369" s="71">
        <v>63.4</v>
      </c>
      <c r="W369" s="72">
        <f t="shared" si="6"/>
        <v>0.4660530183</v>
      </c>
      <c r="X369" s="72"/>
      <c r="Y369" s="71">
        <v>0.0</v>
      </c>
      <c r="Z369" s="60">
        <v>-0.0625</v>
      </c>
      <c r="AA369" s="85" t="s">
        <v>1450</v>
      </c>
      <c r="AB369" s="74" t="s">
        <v>1998</v>
      </c>
      <c r="AC369" s="75" t="s">
        <v>1999</v>
      </c>
      <c r="AD369" s="74" t="s">
        <v>2000</v>
      </c>
      <c r="AE369" s="75" t="s">
        <v>1729</v>
      </c>
      <c r="AF369" s="61" t="s">
        <v>806</v>
      </c>
      <c r="AG369" s="61" t="s">
        <v>2001</v>
      </c>
      <c r="AH369" s="86">
        <v>9.0</v>
      </c>
      <c r="AI369" s="59">
        <v>0.09</v>
      </c>
    </row>
    <row r="370">
      <c r="A370" s="78" t="s">
        <v>79</v>
      </c>
      <c r="B370" s="38">
        <v>1.0</v>
      </c>
      <c r="C370" s="39">
        <v>0.7291666666666666</v>
      </c>
      <c r="D370" s="40">
        <f t="array" ref="D370">IFERROR(INDIRECT("'renta'!G$"&amp;MATCH(T370,renta!$A:$A,0))*0.975-(G370*INDIRECT("'renta'!G$"&amp;MATCH(F370,renta!$A:$A,0)))/B370-IFERROR((J370*INDIRECT("'renta'!G$"&amp;MATCH(I370,renta!$A:$A,0)))/B370,0),)</f>
        <v>31.68811136</v>
      </c>
      <c r="E370" s="41">
        <f t="shared" si="1"/>
        <v>3.947433301</v>
      </c>
      <c r="F370" s="40" t="s">
        <v>27</v>
      </c>
      <c r="G370" s="43">
        <f t="shared" si="2"/>
        <v>9.044</v>
      </c>
      <c r="H370" s="44" t="s">
        <v>2002</v>
      </c>
      <c r="I370" s="40" t="s">
        <v>41</v>
      </c>
      <c r="J370" s="40">
        <f t="shared" si="23"/>
        <v>2.717</v>
      </c>
      <c r="K370" s="40">
        <v>2.86</v>
      </c>
      <c r="L370" s="38" t="s">
        <v>1928</v>
      </c>
      <c r="M370" s="46">
        <v>63.35</v>
      </c>
      <c r="N370" s="46">
        <v>575.0</v>
      </c>
      <c r="O370" s="42" t="s">
        <v>34</v>
      </c>
      <c r="P370" s="46">
        <v>12.0</v>
      </c>
      <c r="Q370" s="46"/>
      <c r="R370" s="47">
        <f t="array" ref="R370">INDIRECT("'renta'!G$"&amp;MATCH(O370,renta!$A:$A,0))*P370</f>
        <v>1592.185836</v>
      </c>
      <c r="S370" s="48">
        <f t="shared" si="34"/>
        <v>4441.189936</v>
      </c>
      <c r="T370" s="49" t="str">
        <f t="shared" si="25"/>
        <v>STONE</v>
      </c>
      <c r="U370" s="50">
        <f t="shared" si="5"/>
        <v>0.3499694938</v>
      </c>
      <c r="V370" s="80">
        <v>63.4</v>
      </c>
      <c r="W370" s="52">
        <f t="shared" si="6"/>
        <v>0.4998124821</v>
      </c>
      <c r="X370" s="52"/>
      <c r="Y370" s="80">
        <v>0.0</v>
      </c>
      <c r="Z370" s="39">
        <v>-0.0625</v>
      </c>
      <c r="AA370" s="81" t="s">
        <v>1321</v>
      </c>
      <c r="AB370" s="111">
        <v>46186.0</v>
      </c>
      <c r="AC370" s="54" t="s">
        <v>1634</v>
      </c>
      <c r="AD370" s="82" t="s">
        <v>2003</v>
      </c>
      <c r="AE370" s="54" t="s">
        <v>1738</v>
      </c>
      <c r="AF370" s="40" t="s">
        <v>806</v>
      </c>
      <c r="AG370" s="40" t="s">
        <v>2004</v>
      </c>
      <c r="AH370" s="87">
        <v>9.0</v>
      </c>
      <c r="AI370" s="38">
        <v>0.09</v>
      </c>
    </row>
    <row r="371">
      <c r="A371" s="58" t="s">
        <v>2005</v>
      </c>
      <c r="B371" s="59">
        <v>1.0</v>
      </c>
      <c r="C371" s="60">
        <v>0.6666666666666666</v>
      </c>
      <c r="D371" s="61">
        <f t="array" ref="D371">IFERROR(INDIRECT("'renta'!G$"&amp;MATCH(T371,renta!$A:$A,0))*0.975-(G371*INDIRECT("'renta'!G$"&amp;MATCH(F371,renta!$A:$A,0)))/B371-IFERROR((J371*INDIRECT("'renta'!G$"&amp;MATCH(I371,renta!$A:$A,0)))/B371,0),)</f>
        <v>34.42382636</v>
      </c>
      <c r="E371" s="41">
        <f t="shared" si="1"/>
        <v>4.690246342</v>
      </c>
      <c r="F371" s="61" t="s">
        <v>27</v>
      </c>
      <c r="G371" s="62">
        <f t="shared" si="2"/>
        <v>8.9585</v>
      </c>
      <c r="H371" s="63" t="s">
        <v>2006</v>
      </c>
      <c r="I371" s="61" t="s">
        <v>41</v>
      </c>
      <c r="J371" s="61">
        <f t="shared" si="23"/>
        <v>2.6885</v>
      </c>
      <c r="K371" s="61">
        <v>2.83</v>
      </c>
      <c r="L371" s="59" t="s">
        <v>1933</v>
      </c>
      <c r="M371" s="65">
        <v>63.35</v>
      </c>
      <c r="N371" s="65">
        <v>575.0</v>
      </c>
      <c r="O371" s="66" t="s">
        <v>75</v>
      </c>
      <c r="P371" s="65">
        <v>68.0</v>
      </c>
      <c r="Q371" s="65"/>
      <c r="R371" s="67">
        <f t="array" ref="R371">INDIRECT("'renta'!G$"&amp;MATCH(O371,renta!$A:$A,0))*P371</f>
        <v>5440</v>
      </c>
      <c r="S371" s="68">
        <f t="shared" si="34"/>
        <v>9881.189936</v>
      </c>
      <c r="T371" s="69" t="str">
        <f t="shared" si="25"/>
        <v>STONE</v>
      </c>
      <c r="U371" s="70">
        <f t="shared" si="5"/>
        <v>0.1365465148</v>
      </c>
      <c r="V371" s="71">
        <v>63.4</v>
      </c>
      <c r="W371" s="72">
        <f t="shared" si="6"/>
        <v>0.5429625609</v>
      </c>
      <c r="X371" s="72"/>
      <c r="Y371" s="71">
        <v>0.0</v>
      </c>
      <c r="Z371" s="60">
        <v>-0.0625</v>
      </c>
      <c r="AA371" s="85" t="s">
        <v>1765</v>
      </c>
      <c r="AB371" s="74" t="s">
        <v>2007</v>
      </c>
      <c r="AC371" s="75" t="s">
        <v>2008</v>
      </c>
      <c r="AD371" s="74" t="s">
        <v>2009</v>
      </c>
      <c r="AE371" s="75" t="s">
        <v>1738</v>
      </c>
      <c r="AF371" s="61" t="s">
        <v>806</v>
      </c>
      <c r="AG371" s="61" t="s">
        <v>2010</v>
      </c>
      <c r="AH371" s="86">
        <v>9.0</v>
      </c>
      <c r="AI371" s="59">
        <v>0.09</v>
      </c>
    </row>
    <row r="372">
      <c r="A372" s="78" t="s">
        <v>2011</v>
      </c>
      <c r="B372" s="38">
        <v>1.0</v>
      </c>
      <c r="C372" s="39">
        <v>0.6041666666666666</v>
      </c>
      <c r="D372" s="40">
        <f t="array" ref="D372">IFERROR(INDIRECT("'renta'!G$"&amp;MATCH(T372,renta!$A:$A,0))*0.975-(G372*INDIRECT("'renta'!G$"&amp;MATCH(F372,renta!$A:$A,0)))/B372-IFERROR((J372*INDIRECT("'renta'!G$"&amp;MATCH(I372,renta!$A:$A,0)))/B372,0),)</f>
        <v>37.08040636</v>
      </c>
      <c r="E372" s="41">
        <f t="shared" si="1"/>
        <v>5.574847301</v>
      </c>
      <c r="F372" s="40" t="s">
        <v>27</v>
      </c>
      <c r="G372" s="43">
        <f t="shared" si="2"/>
        <v>8.8825</v>
      </c>
      <c r="H372" s="44" t="s">
        <v>2012</v>
      </c>
      <c r="I372" s="40" t="s">
        <v>41</v>
      </c>
      <c r="J372" s="40">
        <f t="shared" si="23"/>
        <v>2.66</v>
      </c>
      <c r="K372" s="40">
        <v>2.8</v>
      </c>
      <c r="L372" s="38" t="s">
        <v>1939</v>
      </c>
      <c r="M372" s="46">
        <v>63.35</v>
      </c>
      <c r="N372" s="46">
        <v>575.0</v>
      </c>
      <c r="O372" s="42" t="s">
        <v>75</v>
      </c>
      <c r="P372" s="46">
        <v>90.0</v>
      </c>
      <c r="Q372" s="46"/>
      <c r="R372" s="47">
        <f t="array" ref="R372">INDIRECT("'renta'!G$"&amp;MATCH(O372,renta!$A:$A,0))*P372</f>
        <v>7200</v>
      </c>
      <c r="S372" s="48">
        <f t="shared" si="34"/>
        <v>17081.18994</v>
      </c>
      <c r="T372" s="49" t="str">
        <f t="shared" si="25"/>
        <v>STONE</v>
      </c>
      <c r="U372" s="50">
        <f t="shared" si="5"/>
        <v>0.1228612444</v>
      </c>
      <c r="V372" s="80">
        <v>63.4</v>
      </c>
      <c r="W372" s="52">
        <f t="shared" si="6"/>
        <v>0.5848644537</v>
      </c>
      <c r="X372" s="52"/>
      <c r="Y372" s="80">
        <v>0.0</v>
      </c>
      <c r="Z372" s="39">
        <v>-0.0625</v>
      </c>
      <c r="AA372" s="81" t="s">
        <v>2013</v>
      </c>
      <c r="AB372" s="82" t="s">
        <v>2014</v>
      </c>
      <c r="AC372" s="54" t="s">
        <v>1646</v>
      </c>
      <c r="AD372" s="82" t="s">
        <v>2015</v>
      </c>
      <c r="AE372" s="54" t="s">
        <v>1743</v>
      </c>
      <c r="AF372" s="40" t="s">
        <v>806</v>
      </c>
      <c r="AG372" s="40" t="s">
        <v>2016</v>
      </c>
      <c r="AH372" s="87">
        <v>9.0</v>
      </c>
      <c r="AI372" s="38">
        <v>0.09</v>
      </c>
    </row>
    <row r="373">
      <c r="A373" s="58" t="s">
        <v>2017</v>
      </c>
      <c r="B373" s="59">
        <v>1.0</v>
      </c>
      <c r="C373" s="60">
        <v>0.5416666666666666</v>
      </c>
      <c r="D373" s="61">
        <f t="array" ref="D373">IFERROR(INDIRECT("'renta'!G$"&amp;MATCH(T373,renta!$A:$A,0))*0.975-(G373*INDIRECT("'renta'!G$"&amp;MATCH(F373,renta!$A:$A,0)))/B373-IFERROR((J373*INDIRECT("'renta'!G$"&amp;MATCH(I373,renta!$A:$A,0)))/B373,0),)</f>
        <v>39.14162136</v>
      </c>
      <c r="E373" s="41">
        <f t="shared" si="1"/>
        <v>6.563748813</v>
      </c>
      <c r="F373" s="61" t="s">
        <v>27</v>
      </c>
      <c r="G373" s="62">
        <f t="shared" si="2"/>
        <v>8.797</v>
      </c>
      <c r="H373" s="63" t="s">
        <v>2018</v>
      </c>
      <c r="I373" s="61" t="s">
        <v>41</v>
      </c>
      <c r="J373" s="61">
        <f t="shared" si="23"/>
        <v>2.641</v>
      </c>
      <c r="K373" s="61">
        <v>2.78</v>
      </c>
      <c r="L373" s="59" t="s">
        <v>1945</v>
      </c>
      <c r="M373" s="65">
        <v>63.35</v>
      </c>
      <c r="N373" s="65">
        <v>575.0</v>
      </c>
      <c r="O373" s="66" t="s">
        <v>78</v>
      </c>
      <c r="P373" s="65">
        <v>40.0</v>
      </c>
      <c r="Q373" s="65"/>
      <c r="R373" s="67">
        <f t="array" ref="R373">INDIRECT("'renta'!G$"&amp;MATCH(O373,renta!$A:$A,0))*P373</f>
        <v>12304.88744</v>
      </c>
      <c r="S373" s="68">
        <f t="shared" si="34"/>
        <v>29386.07738</v>
      </c>
      <c r="T373" s="69" t="str">
        <f t="shared" si="25"/>
        <v>STONE</v>
      </c>
      <c r="U373" s="70">
        <f t="shared" si="5"/>
        <v>0.080366563</v>
      </c>
      <c r="V373" s="71">
        <v>63.4</v>
      </c>
      <c r="W373" s="72">
        <f t="shared" si="6"/>
        <v>0.6173757313</v>
      </c>
      <c r="X373" s="72"/>
      <c r="Y373" s="71">
        <v>0.0</v>
      </c>
      <c r="Z373" s="60">
        <v>-0.0625</v>
      </c>
      <c r="AA373" s="85" t="s">
        <v>1525</v>
      </c>
      <c r="AB373" s="110">
        <v>46282.0</v>
      </c>
      <c r="AC373" s="75" t="s">
        <v>2019</v>
      </c>
      <c r="AD373" s="74" t="s">
        <v>2020</v>
      </c>
      <c r="AE373" s="75" t="s">
        <v>1756</v>
      </c>
      <c r="AF373" s="61" t="s">
        <v>806</v>
      </c>
      <c r="AG373" s="61" t="s">
        <v>2021</v>
      </c>
      <c r="AH373" s="86">
        <v>9.0</v>
      </c>
      <c r="AI373" s="59">
        <v>0.09</v>
      </c>
    </row>
    <row r="374">
      <c r="A374" s="78" t="s">
        <v>2022</v>
      </c>
      <c r="B374" s="38">
        <v>2.0</v>
      </c>
      <c r="C374" s="39">
        <v>0.9166666666666666</v>
      </c>
      <c r="D374" s="40">
        <f t="array" ref="D374">IFERROR(INDIRECT("'renta'!G$"&amp;MATCH(T374,renta!$A:$A,0))*0.975-(G374*INDIRECT("'renta'!G$"&amp;MATCH(F374,renta!$A:$A,0)))/B374-IFERROR((J374*INDIRECT("'renta'!G$"&amp;MATCH(I374,renta!$A:$A,0)))/B374,0),)</f>
        <v>41.83776886</v>
      </c>
      <c r="E374" s="41">
        <f t="shared" si="1"/>
        <v>8.291485102</v>
      </c>
      <c r="F374" s="40" t="s">
        <v>27</v>
      </c>
      <c r="G374" s="43">
        <f t="shared" si="2"/>
        <v>17.4325</v>
      </c>
      <c r="H374" s="44" t="s">
        <v>2023</v>
      </c>
      <c r="I374" s="40" t="s">
        <v>41</v>
      </c>
      <c r="J374" s="40">
        <f t="shared" si="23"/>
        <v>5.225</v>
      </c>
      <c r="K374" s="40">
        <v>5.5</v>
      </c>
      <c r="L374" s="38" t="s">
        <v>1951</v>
      </c>
      <c r="M374" s="46">
        <v>124.7</v>
      </c>
      <c r="N374" s="46">
        <v>575.0</v>
      </c>
      <c r="O374" s="42" t="s">
        <v>78</v>
      </c>
      <c r="P374" s="46">
        <v>53.0</v>
      </c>
      <c r="Q374" s="46"/>
      <c r="R374" s="47">
        <f t="array" ref="R374">INDIRECT("'renta'!G$"&amp;MATCH(O374,renta!$A:$A,0))*P374</f>
        <v>16303.97586</v>
      </c>
      <c r="S374" s="48">
        <f t="shared" si="34"/>
        <v>45690.05324</v>
      </c>
      <c r="T374" s="49" t="str">
        <f t="shared" si="25"/>
        <v>STONE</v>
      </c>
      <c r="U374" s="50">
        <f t="shared" si="5"/>
        <v>0.1059702433</v>
      </c>
      <c r="V374" s="80"/>
      <c r="W374" s="52" t="str">
        <f t="shared" si="6"/>
        <v/>
      </c>
      <c r="X374" s="52"/>
      <c r="Y374" s="80">
        <v>1.0</v>
      </c>
      <c r="Z374" s="39">
        <v>0.375</v>
      </c>
      <c r="AA374" s="81" t="s">
        <v>2024</v>
      </c>
      <c r="AB374" s="111">
        <v>46073.0</v>
      </c>
      <c r="AC374" s="54" t="s">
        <v>1665</v>
      </c>
      <c r="AD374" s="111">
        <v>46028.0</v>
      </c>
      <c r="AE374" s="54" t="s">
        <v>1761</v>
      </c>
      <c r="AF374" s="40" t="s">
        <v>806</v>
      </c>
      <c r="AG374" s="40" t="s">
        <v>2025</v>
      </c>
      <c r="AH374" s="87">
        <v>9.0</v>
      </c>
      <c r="AI374" s="38">
        <v>0.09</v>
      </c>
    </row>
    <row r="375">
      <c r="A375" s="58" t="s">
        <v>2026</v>
      </c>
      <c r="B375" s="59">
        <v>2.0</v>
      </c>
      <c r="C375" s="60">
        <v>0.75</v>
      </c>
      <c r="D375" s="61">
        <f t="array" ref="D375">IFERROR(INDIRECT("'renta'!G$"&amp;MATCH(T375,renta!$A:$A,0))*0.975-(G375*INDIRECT("'renta'!G$"&amp;MATCH(F375,renta!$A:$A,0)))/B375-IFERROR((J375*INDIRECT("'renta'!G$"&amp;MATCH(I375,renta!$A:$A,0)))/B375,0),)</f>
        <v>44.19666636</v>
      </c>
      <c r="E375" s="41">
        <f t="shared" si="1"/>
        <v>10.70541474</v>
      </c>
      <c r="F375" s="61" t="s">
        <v>27</v>
      </c>
      <c r="G375" s="62">
        <f t="shared" si="2"/>
        <v>17.271</v>
      </c>
      <c r="H375" s="63" t="s">
        <v>2027</v>
      </c>
      <c r="I375" s="61" t="s">
        <v>41</v>
      </c>
      <c r="J375" s="61">
        <f t="shared" si="23"/>
        <v>5.1775</v>
      </c>
      <c r="K375" s="61">
        <v>5.45</v>
      </c>
      <c r="L375" s="59" t="s">
        <v>1957</v>
      </c>
      <c r="M375" s="65">
        <v>124.7</v>
      </c>
      <c r="N375" s="65">
        <v>575.0</v>
      </c>
      <c r="O375" s="66" t="s">
        <v>84</v>
      </c>
      <c r="P375" s="65">
        <v>11.0</v>
      </c>
      <c r="Q375" s="65"/>
      <c r="R375" s="67">
        <f t="array" ref="R375">INDIRECT("'renta'!G$"&amp;MATCH(O375,renta!$A:$A,0))*P375</f>
        <v>19203.446</v>
      </c>
      <c r="S375" s="68">
        <f t="shared" si="34"/>
        <v>64893.49924</v>
      </c>
      <c r="T375" s="69" t="str">
        <f t="shared" si="25"/>
        <v>STONE</v>
      </c>
      <c r="U375" s="70">
        <f t="shared" si="5"/>
        <v>0.125702941</v>
      </c>
      <c r="V375" s="71"/>
      <c r="W375" s="72" t="str">
        <f t="shared" si="6"/>
        <v/>
      </c>
      <c r="X375" s="72"/>
      <c r="Y375" s="71">
        <v>0.0</v>
      </c>
      <c r="Z375" s="60">
        <v>-0.16666666666666666</v>
      </c>
      <c r="AA375" s="85" t="s">
        <v>2028</v>
      </c>
      <c r="AB375" s="74" t="s">
        <v>2029</v>
      </c>
      <c r="AC375" s="75" t="s">
        <v>1671</v>
      </c>
      <c r="AD375" s="74" t="s">
        <v>1965</v>
      </c>
      <c r="AE375" s="75" t="s">
        <v>1767</v>
      </c>
      <c r="AF375" s="61" t="s">
        <v>806</v>
      </c>
      <c r="AG375" s="61" t="s">
        <v>2030</v>
      </c>
      <c r="AH375" s="86">
        <v>9.0</v>
      </c>
      <c r="AI375" s="59">
        <v>0.09</v>
      </c>
    </row>
    <row r="376">
      <c r="A376" s="78" t="s">
        <v>2031</v>
      </c>
      <c r="B376" s="38">
        <v>2.0</v>
      </c>
      <c r="C376" s="39">
        <v>0.6041666666666666</v>
      </c>
      <c r="D376" s="40">
        <f t="array" ref="D376">IFERROR(INDIRECT("'renta'!G$"&amp;MATCH(T376,renta!$A:$A,0))*0.975-(G376*INDIRECT("'renta'!G$"&amp;MATCH(F376,renta!$A:$A,0)))/B376-IFERROR((J376*INDIRECT("'renta'!G$"&amp;MATCH(I376,renta!$A:$A,0)))/B376,0),)</f>
        <v>46.25788136</v>
      </c>
      <c r="E376" s="41">
        <f t="shared" si="1"/>
        <v>13.9092664</v>
      </c>
      <c r="F376" s="40" t="s">
        <v>27</v>
      </c>
      <c r="G376" s="43">
        <v>17.1</v>
      </c>
      <c r="H376" s="44" t="s">
        <v>2032</v>
      </c>
      <c r="I376" s="40" t="s">
        <v>41</v>
      </c>
      <c r="J376" s="40">
        <f t="shared" si="23"/>
        <v>5.1395</v>
      </c>
      <c r="K376" s="40">
        <v>5.41</v>
      </c>
      <c r="L376" s="38" t="s">
        <v>1963</v>
      </c>
      <c r="M376" s="46">
        <v>124.7</v>
      </c>
      <c r="N376" s="46">
        <v>575.0</v>
      </c>
      <c r="O376" s="42" t="s">
        <v>84</v>
      </c>
      <c r="P376" s="46">
        <v>15.0</v>
      </c>
      <c r="Q376" s="46"/>
      <c r="R376" s="47">
        <f t="array" ref="R376">INDIRECT("'renta'!G$"&amp;MATCH(O376,renta!$A:$A,0))*P376</f>
        <v>26186.51728</v>
      </c>
      <c r="S376" s="48">
        <f t="shared" si="34"/>
        <v>91080.01652</v>
      </c>
      <c r="T376" s="49" t="str">
        <f t="shared" si="25"/>
        <v>STONE</v>
      </c>
      <c r="U376" s="50">
        <f t="shared" si="5"/>
        <v>0.1223473752</v>
      </c>
      <c r="V376" s="80"/>
      <c r="W376" s="52" t="str">
        <f t="shared" si="6"/>
        <v/>
      </c>
      <c r="X376" s="52"/>
      <c r="Y376" s="80">
        <v>0.0</v>
      </c>
      <c r="Z376" s="39">
        <v>-0.14583333333333334</v>
      </c>
      <c r="AA376" s="81" t="s">
        <v>2033</v>
      </c>
      <c r="AB376" s="82" t="s">
        <v>2034</v>
      </c>
      <c r="AC376" s="54" t="s">
        <v>2035</v>
      </c>
      <c r="AD376" s="82" t="s">
        <v>1728</v>
      </c>
      <c r="AE376" s="54" t="s">
        <v>1772</v>
      </c>
      <c r="AF376" s="40" t="s">
        <v>806</v>
      </c>
      <c r="AG376" s="40" t="s">
        <v>2036</v>
      </c>
      <c r="AH376" s="87">
        <v>9.0</v>
      </c>
      <c r="AI376" s="38">
        <v>0.09</v>
      </c>
    </row>
    <row r="377">
      <c r="A377" s="58" t="s">
        <v>2037</v>
      </c>
      <c r="B377" s="59">
        <v>2.0</v>
      </c>
      <c r="C377" s="60">
        <v>0.4583333333333333</v>
      </c>
      <c r="D377" s="61">
        <f t="array" ref="D377">IFERROR(INDIRECT("'renta'!G$"&amp;MATCH(T377,renta!$A:$A,0))*0.975-(G377*INDIRECT("'renta'!G$"&amp;MATCH(F377,renta!$A:$A,0)))/B377-IFERROR((J377*INDIRECT("'renta'!G$"&amp;MATCH(I377,renta!$A:$A,0)))/B377,0),)</f>
        <v>48.49807636</v>
      </c>
      <c r="E377" s="41">
        <f t="shared" si="1"/>
        <v>19.2228739</v>
      </c>
      <c r="F377" s="61" t="s">
        <v>27</v>
      </c>
      <c r="G377" s="62">
        <f t="shared" ref="G377:G378" si="35">H377*0.95</f>
        <v>16.967</v>
      </c>
      <c r="H377" s="63" t="s">
        <v>2038</v>
      </c>
      <c r="I377" s="61" t="s">
        <v>41</v>
      </c>
      <c r="J377" s="61">
        <f t="shared" si="23"/>
        <v>5.092</v>
      </c>
      <c r="K377" s="61">
        <v>5.36</v>
      </c>
      <c r="L377" s="59" t="s">
        <v>1969</v>
      </c>
      <c r="M377" s="65">
        <v>124.7</v>
      </c>
      <c r="N377" s="65">
        <v>575.0</v>
      </c>
      <c r="O377" s="66" t="s">
        <v>87</v>
      </c>
      <c r="P377" s="65">
        <v>44.0</v>
      </c>
      <c r="Q377" s="65"/>
      <c r="R377" s="67">
        <f t="array" ref="R377">INDIRECT("'renta'!G$"&amp;MATCH(O377,renta!$A:$A,0))*P377</f>
        <v>99000</v>
      </c>
      <c r="S377" s="68">
        <f t="shared" si="34"/>
        <v>190080.0165</v>
      </c>
      <c r="T377" s="69" t="str">
        <f t="shared" si="25"/>
        <v>STONE</v>
      </c>
      <c r="U377" s="70">
        <f t="shared" si="5"/>
        <v>0.05367280311</v>
      </c>
      <c r="V377" s="71"/>
      <c r="W377" s="72" t="str">
        <f t="shared" si="6"/>
        <v/>
      </c>
      <c r="X377" s="72"/>
      <c r="Y377" s="71">
        <v>0.0</v>
      </c>
      <c r="Z377" s="60">
        <v>-0.14583333333333334</v>
      </c>
      <c r="AA377" s="85" t="s">
        <v>2039</v>
      </c>
      <c r="AB377" s="74" t="s">
        <v>2040</v>
      </c>
      <c r="AC377" s="75" t="s">
        <v>1692</v>
      </c>
      <c r="AD377" s="74" t="s">
        <v>2041</v>
      </c>
      <c r="AE377" s="75" t="s">
        <v>1784</v>
      </c>
      <c r="AF377" s="61" t="s">
        <v>806</v>
      </c>
      <c r="AG377" s="61" t="s">
        <v>2042</v>
      </c>
      <c r="AH377" s="86">
        <v>9.0</v>
      </c>
      <c r="AI377" s="59">
        <v>0.09</v>
      </c>
    </row>
    <row r="378">
      <c r="A378" s="78" t="s">
        <v>2043</v>
      </c>
      <c r="B378" s="38">
        <v>2.0</v>
      </c>
      <c r="C378" s="39">
        <v>0.3333333333333333</v>
      </c>
      <c r="D378" s="40">
        <f t="array" ref="D378">IFERROR(INDIRECT("'renta'!G$"&amp;MATCH(T378,renta!$A:$A,0))*0.975-(G378*INDIRECT("'renta'!G$"&amp;MATCH(F378,renta!$A:$A,0)))/B378-IFERROR((J378*INDIRECT("'renta'!G$"&amp;MATCH(I378,renta!$A:$A,0)))/B378,0),)</f>
        <v>50.81740636</v>
      </c>
      <c r="E378" s="41">
        <f t="shared" si="1"/>
        <v>27.69548647</v>
      </c>
      <c r="F378" s="40" t="s">
        <v>27</v>
      </c>
      <c r="G378" s="43">
        <f t="shared" si="35"/>
        <v>16.815</v>
      </c>
      <c r="H378" s="44" t="s">
        <v>2044</v>
      </c>
      <c r="I378" s="40" t="s">
        <v>41</v>
      </c>
      <c r="J378" s="40">
        <f t="shared" si="23"/>
        <v>5.0445</v>
      </c>
      <c r="K378" s="40">
        <v>5.31</v>
      </c>
      <c r="L378" s="38" t="s">
        <v>1973</v>
      </c>
      <c r="M378" s="46">
        <v>124.7</v>
      </c>
      <c r="N378" s="46">
        <v>575.0</v>
      </c>
      <c r="O378" s="42" t="s">
        <v>87</v>
      </c>
      <c r="P378" s="46">
        <v>59.0</v>
      </c>
      <c r="Q378" s="46"/>
      <c r="R378" s="47">
        <f t="array" ref="R378">INDIRECT("'renta'!G$"&amp;MATCH(O378,renta!$A:$A,0))*P378</f>
        <v>132750</v>
      </c>
      <c r="S378" s="48">
        <f t="shared" si="34"/>
        <v>322830.0165</v>
      </c>
      <c r="T378" s="49" t="str">
        <f t="shared" si="25"/>
        <v>STONE</v>
      </c>
      <c r="U378" s="50">
        <f t="shared" si="5"/>
        <v>0.06382382346</v>
      </c>
      <c r="V378" s="80"/>
      <c r="W378" s="52" t="str">
        <f t="shared" si="6"/>
        <v/>
      </c>
      <c r="X378" s="52"/>
      <c r="Y378" s="80">
        <v>0.0</v>
      </c>
      <c r="Z378" s="39">
        <v>-0.125</v>
      </c>
      <c r="AA378" s="81" t="s">
        <v>2045</v>
      </c>
      <c r="AB378" s="82" t="s">
        <v>2046</v>
      </c>
      <c r="AC378" s="54" t="s">
        <v>1698</v>
      </c>
      <c r="AD378" s="82" t="s">
        <v>2047</v>
      </c>
      <c r="AE378" s="54" t="s">
        <v>1258</v>
      </c>
      <c r="AF378" s="40" t="s">
        <v>806</v>
      </c>
      <c r="AG378" s="40" t="s">
        <v>2048</v>
      </c>
      <c r="AH378" s="87">
        <v>9.0</v>
      </c>
      <c r="AI378" s="38">
        <v>0.09</v>
      </c>
    </row>
    <row r="379">
      <c r="A379" s="58" t="s">
        <v>2049</v>
      </c>
      <c r="B379" s="59">
        <v>3.0</v>
      </c>
      <c r="C379" s="60">
        <v>0.3333333333333333</v>
      </c>
      <c r="D379" s="61">
        <f t="array" ref="D379">IFERROR(INDIRECT("'renta'!G$"&amp;MATCH(T379,renta!$A:$A,0))*0.975-(G379*INDIRECT("'renta'!G$"&amp;MATCH(F379,renta!$A:$A,0)))/B379-IFERROR((J379*INDIRECT("'renta'!G$"&amp;MATCH(I379,renta!$A:$A,0)))/B379,0),)</f>
        <v>77.51679803</v>
      </c>
      <c r="E379" s="41">
        <f t="shared" si="1"/>
        <v>63.36998239</v>
      </c>
      <c r="F379" s="61" t="s">
        <v>27</v>
      </c>
      <c r="G379" s="62">
        <v>16.7</v>
      </c>
      <c r="H379" s="63" t="s">
        <v>2050</v>
      </c>
      <c r="I379" s="61" t="s">
        <v>41</v>
      </c>
      <c r="J379" s="61">
        <f t="shared" si="23"/>
        <v>7.4385</v>
      </c>
      <c r="K379" s="61">
        <v>7.83</v>
      </c>
      <c r="L379" s="59" t="s">
        <v>1366</v>
      </c>
      <c r="M379" s="65">
        <v>184.05</v>
      </c>
      <c r="N379" s="65">
        <v>575.0</v>
      </c>
      <c r="O379" s="66" t="s">
        <v>90</v>
      </c>
      <c r="P379" s="65">
        <v>10.0</v>
      </c>
      <c r="Q379" s="65"/>
      <c r="R379" s="67">
        <f t="array" ref="R379">INDIRECT("'renta'!G$"&amp;MATCH(O379,renta!$A:$A,0))*P379</f>
        <v>90000</v>
      </c>
      <c r="S379" s="68">
        <f t="shared" si="34"/>
        <v>412830.0165</v>
      </c>
      <c r="T379" s="69" t="str">
        <f t="shared" si="25"/>
        <v>STONE</v>
      </c>
      <c r="U379" s="70">
        <f t="shared" si="5"/>
        <v>0.396383288</v>
      </c>
      <c r="V379" s="71"/>
      <c r="W379" s="72" t="str">
        <f t="shared" si="6"/>
        <v/>
      </c>
      <c r="X379" s="72"/>
      <c r="Y379" s="71">
        <v>1.0</v>
      </c>
      <c r="Z379" s="60">
        <v>0.0</v>
      </c>
      <c r="AA379" s="73">
        <v>0.5</v>
      </c>
      <c r="AB379" s="74" t="s">
        <v>2051</v>
      </c>
      <c r="AC379" s="75" t="s">
        <v>1703</v>
      </c>
      <c r="AD379" s="74" t="s">
        <v>2052</v>
      </c>
      <c r="AE379" s="75" t="s">
        <v>1393</v>
      </c>
      <c r="AF379" s="61" t="s">
        <v>806</v>
      </c>
      <c r="AG379" s="61" t="s">
        <v>2053</v>
      </c>
      <c r="AH379" s="86">
        <v>9.0</v>
      </c>
      <c r="AI379" s="59">
        <v>0.09</v>
      </c>
    </row>
    <row r="380">
      <c r="A380" s="88"/>
      <c r="B380" s="89"/>
      <c r="C380" s="90"/>
      <c r="D380" s="40" t="str">
        <f t="array" ref="D380">IFERROR(INDIRECT("'renta'!G$"&amp;MATCH(T380,renta!$A:$A,0))*0.975-(G380*INDIRECT("'renta'!G$"&amp;MATCH(F380,renta!$A:$A,0)))/B380-IFERROR((J380*INDIRECT("'renta'!G$"&amp;MATCH(I380,renta!$A:$A,0)))/B380,0),)</f>
        <v/>
      </c>
      <c r="E380" s="41">
        <f t="shared" si="1"/>
        <v>0</v>
      </c>
      <c r="F380" s="79"/>
      <c r="G380" s="43">
        <f t="shared" ref="G380:G438" si="36">H380*0.95</f>
        <v>0</v>
      </c>
      <c r="H380" s="91"/>
      <c r="I380" s="79"/>
      <c r="J380" s="40">
        <f t="shared" si="23"/>
        <v>0</v>
      </c>
      <c r="K380" s="79"/>
      <c r="L380" s="92"/>
      <c r="M380" s="93"/>
      <c r="N380" s="93"/>
      <c r="O380" s="45"/>
      <c r="P380" s="93"/>
      <c r="Q380" s="93"/>
      <c r="R380" s="47"/>
      <c r="S380" s="48"/>
      <c r="T380" s="49" t="str">
        <f t="shared" si="25"/>
        <v/>
      </c>
      <c r="U380" s="50" t="str">
        <f t="shared" si="5"/>
        <v>#DIV/0!</v>
      </c>
      <c r="V380" s="94"/>
      <c r="W380" s="52" t="str">
        <f t="shared" si="6"/>
        <v/>
      </c>
      <c r="X380" s="52"/>
      <c r="Y380" s="94"/>
      <c r="Z380" s="90"/>
      <c r="AA380" s="95"/>
      <c r="AB380" s="50"/>
      <c r="AC380" s="83"/>
      <c r="AD380" s="50"/>
      <c r="AE380" s="83"/>
      <c r="AF380" s="79"/>
      <c r="AG380" s="79"/>
      <c r="AH380" s="84"/>
      <c r="AI380" s="90"/>
    </row>
    <row r="381">
      <c r="A381" s="58" t="s">
        <v>82</v>
      </c>
      <c r="B381" s="59">
        <v>1.0</v>
      </c>
      <c r="C381" s="60">
        <v>1.3333333333333333</v>
      </c>
      <c r="D381" s="61">
        <f t="array" ref="D381">IFERROR(INDIRECT("'renta'!G$"&amp;MATCH(T381,renta!$A:$A,0))*0.975-(G381*INDIRECT("'renta'!G$"&amp;MATCH(F381,renta!$A:$A,0)))/B381-IFERROR((J381*INDIRECT("'renta'!G$"&amp;MATCH(I381,renta!$A:$A,0)))/B381,0),)</f>
        <v>-88.45</v>
      </c>
      <c r="E381" s="41">
        <f t="shared" si="1"/>
        <v>-5.528125</v>
      </c>
      <c r="F381" s="61" t="s">
        <v>45</v>
      </c>
      <c r="G381" s="62">
        <f t="shared" si="36"/>
        <v>1.9</v>
      </c>
      <c r="H381" s="63" t="s">
        <v>1898</v>
      </c>
      <c r="I381" s="61" t="s">
        <v>62</v>
      </c>
      <c r="J381" s="61">
        <f t="shared" si="23"/>
        <v>3.8</v>
      </c>
      <c r="K381" s="61">
        <v>4.0</v>
      </c>
      <c r="L381" s="59" t="s">
        <v>137</v>
      </c>
      <c r="M381" s="65">
        <v>100.0</v>
      </c>
      <c r="N381" s="65">
        <v>700.0</v>
      </c>
      <c r="O381" s="66" t="s">
        <v>12</v>
      </c>
      <c r="P381" s="65">
        <v>1.0</v>
      </c>
      <c r="Q381" s="68">
        <f t="shared" ref="Q381:Q395" si="37">SUM(P$381:P381)</f>
        <v>1</v>
      </c>
      <c r="R381" s="67">
        <f t="array" ref="R381">INDIRECT("'renta'!G$"&amp;MATCH(O381,renta!$A:$A,0))*P381</f>
        <v>0.0041</v>
      </c>
      <c r="S381" s="68">
        <f t="shared" ref="S381:S395" si="38">SUM(R$381:R381)</f>
        <v>0.0041</v>
      </c>
      <c r="T381" s="69" t="str">
        <f t="shared" si="25"/>
        <v>STEAM</v>
      </c>
      <c r="U381" s="70">
        <f t="shared" si="5"/>
        <v>-1348323.171</v>
      </c>
      <c r="V381" s="71">
        <v>100.0</v>
      </c>
      <c r="W381" s="72">
        <f t="shared" si="6"/>
        <v>-0.8845</v>
      </c>
      <c r="X381" s="72"/>
      <c r="Y381" s="71">
        <v>0.0</v>
      </c>
      <c r="Z381" s="60">
        <v>0.0</v>
      </c>
      <c r="AA381" s="73">
        <v>0.0</v>
      </c>
      <c r="AB381" s="74" t="s">
        <v>2054</v>
      </c>
      <c r="AC381" s="75" t="s">
        <v>1899</v>
      </c>
      <c r="AD381" s="74" t="s">
        <v>2055</v>
      </c>
      <c r="AE381" s="75" t="s">
        <v>2055</v>
      </c>
      <c r="AF381" s="61" t="s">
        <v>806</v>
      </c>
      <c r="AG381" s="61" t="s">
        <v>2056</v>
      </c>
      <c r="AH381" s="86">
        <v>7.0</v>
      </c>
      <c r="AI381" s="60"/>
    </row>
    <row r="382">
      <c r="A382" s="78" t="s">
        <v>2057</v>
      </c>
      <c r="B382" s="38">
        <v>1.0</v>
      </c>
      <c r="C382" s="39">
        <v>1.1666666666666667</v>
      </c>
      <c r="D382" s="40">
        <f t="array" ref="D382">IFERROR(INDIRECT("'renta'!G$"&amp;MATCH(T382,renta!$A:$A,0))*0.975-(G382*INDIRECT("'renta'!G$"&amp;MATCH(F382,renta!$A:$A,0)))/B382-IFERROR((J382*INDIRECT("'renta'!G$"&amp;MATCH(I382,renta!$A:$A,0)))/B382,0),)</f>
        <v>-75.378</v>
      </c>
      <c r="E382" s="41">
        <f t="shared" si="1"/>
        <v>-5.384142857</v>
      </c>
      <c r="F382" s="40" t="s">
        <v>45</v>
      </c>
      <c r="G382" s="43">
        <f t="shared" si="36"/>
        <v>1.881</v>
      </c>
      <c r="H382" s="44" t="s">
        <v>1902</v>
      </c>
      <c r="I382" s="40" t="s">
        <v>62</v>
      </c>
      <c r="J382" s="40">
        <f t="shared" si="23"/>
        <v>3.762</v>
      </c>
      <c r="K382" s="40">
        <v>3.96</v>
      </c>
      <c r="L382" s="38" t="s">
        <v>1903</v>
      </c>
      <c r="M382" s="46">
        <v>100.0</v>
      </c>
      <c r="N382" s="46">
        <v>700.0</v>
      </c>
      <c r="O382" s="42" t="s">
        <v>34</v>
      </c>
      <c r="P382" s="46">
        <v>4.0</v>
      </c>
      <c r="Q382" s="48">
        <f t="shared" si="37"/>
        <v>5</v>
      </c>
      <c r="R382" s="47">
        <f t="array" ref="R382">INDIRECT("'renta'!G$"&amp;MATCH(O382,renta!$A:$A,0))*P382</f>
        <v>530.728612</v>
      </c>
      <c r="S382" s="48">
        <f t="shared" si="38"/>
        <v>530.732712</v>
      </c>
      <c r="T382" s="49" t="str">
        <f t="shared" si="25"/>
        <v>STEAM</v>
      </c>
      <c r="U382" s="50">
        <f t="shared" si="5"/>
        <v>0.2712914653</v>
      </c>
      <c r="V382" s="80">
        <v>100.0</v>
      </c>
      <c r="W382" s="52">
        <f t="shared" si="6"/>
        <v>-0.75378</v>
      </c>
      <c r="X382" s="52">
        <f t="shared" ref="X382:X394" si="39">(W382-W381)/R382*100000</f>
        <v>24.6302907</v>
      </c>
      <c r="Y382" s="80">
        <v>0.0</v>
      </c>
      <c r="Z382" s="39">
        <v>-0.16666666666666666</v>
      </c>
      <c r="AA382" s="81" t="s">
        <v>416</v>
      </c>
      <c r="AB382" s="82" t="s">
        <v>2058</v>
      </c>
      <c r="AC382" s="54" t="s">
        <v>2059</v>
      </c>
      <c r="AD382" s="82" t="s">
        <v>2060</v>
      </c>
      <c r="AE382" s="54" t="s">
        <v>2061</v>
      </c>
      <c r="AF382" s="40" t="s">
        <v>806</v>
      </c>
      <c r="AG382" s="40" t="s">
        <v>2062</v>
      </c>
      <c r="AH382" s="87">
        <v>7.0</v>
      </c>
      <c r="AI382" s="39"/>
    </row>
    <row r="383">
      <c r="A383" s="58" t="s">
        <v>2063</v>
      </c>
      <c r="B383" s="59">
        <v>1.0</v>
      </c>
      <c r="C383" s="60">
        <v>1.0208333333333333</v>
      </c>
      <c r="D383" s="61">
        <f t="array" ref="D383">IFERROR(INDIRECT("'renta'!G$"&amp;MATCH(T383,renta!$A:$A,0))*0.975-(G383*INDIRECT("'renta'!G$"&amp;MATCH(F383,renta!$A:$A,0)))/B383-IFERROR((J383*INDIRECT("'renta'!G$"&amp;MATCH(I383,renta!$A:$A,0)))/B383,0),)</f>
        <v>-62.306</v>
      </c>
      <c r="E383" s="41">
        <f t="shared" si="1"/>
        <v>-5.086204082</v>
      </c>
      <c r="F383" s="61" t="s">
        <v>45</v>
      </c>
      <c r="G383" s="62">
        <f t="shared" si="36"/>
        <v>1.862</v>
      </c>
      <c r="H383" s="63" t="s">
        <v>1909</v>
      </c>
      <c r="I383" s="61" t="s">
        <v>62</v>
      </c>
      <c r="J383" s="61">
        <f t="shared" si="23"/>
        <v>3.724</v>
      </c>
      <c r="K383" s="61">
        <v>3.92</v>
      </c>
      <c r="L383" s="59" t="s">
        <v>2064</v>
      </c>
      <c r="M383" s="65">
        <v>100.0</v>
      </c>
      <c r="N383" s="65">
        <v>700.0</v>
      </c>
      <c r="O383" s="66" t="s">
        <v>34</v>
      </c>
      <c r="P383" s="65">
        <v>5.0</v>
      </c>
      <c r="Q383" s="68">
        <f t="shared" si="37"/>
        <v>10</v>
      </c>
      <c r="R383" s="67">
        <f t="array" ref="R383">INDIRECT("'renta'!G$"&amp;MATCH(O383,renta!$A:$A,0))*P383</f>
        <v>663.4107651</v>
      </c>
      <c r="S383" s="68">
        <f t="shared" si="38"/>
        <v>1194.143477</v>
      </c>
      <c r="T383" s="69" t="str">
        <f t="shared" si="25"/>
        <v>STEAM</v>
      </c>
      <c r="U383" s="70">
        <f t="shared" si="5"/>
        <v>0.4491015088</v>
      </c>
      <c r="V383" s="71">
        <v>100.0</v>
      </c>
      <c r="W383" s="72">
        <f t="shared" si="6"/>
        <v>-0.62306</v>
      </c>
      <c r="X383" s="72">
        <f t="shared" si="39"/>
        <v>19.70423256</v>
      </c>
      <c r="Y383" s="71">
        <v>0.0</v>
      </c>
      <c r="Z383" s="60">
        <v>-0.14583333333333334</v>
      </c>
      <c r="AA383" s="85" t="s">
        <v>416</v>
      </c>
      <c r="AB383" s="74" t="s">
        <v>2065</v>
      </c>
      <c r="AC383" s="75" t="s">
        <v>1906</v>
      </c>
      <c r="AD383" s="74" t="s">
        <v>1941</v>
      </c>
      <c r="AE383" s="75" t="s">
        <v>2061</v>
      </c>
      <c r="AF383" s="61" t="s">
        <v>806</v>
      </c>
      <c r="AG383" s="61" t="s">
        <v>2066</v>
      </c>
      <c r="AH383" s="86">
        <v>7.0</v>
      </c>
      <c r="AI383" s="60"/>
    </row>
    <row r="384">
      <c r="A384" s="78" t="s">
        <v>2067</v>
      </c>
      <c r="B384" s="38">
        <v>1.0</v>
      </c>
      <c r="C384" s="39">
        <v>0.8958333333333334</v>
      </c>
      <c r="D384" s="40">
        <f t="array" ref="D384">IFERROR(INDIRECT("'renta'!G$"&amp;MATCH(T384,renta!$A:$A,0))*0.975-(G384*INDIRECT("'renta'!G$"&amp;MATCH(F384,renta!$A:$A,0)))/B384-IFERROR((J384*INDIRECT("'renta'!G$"&amp;MATCH(I384,renta!$A:$A,0)))/B384,0),)</f>
        <v>-49.234</v>
      </c>
      <c r="E384" s="41">
        <f t="shared" si="1"/>
        <v>-4.579906977</v>
      </c>
      <c r="F384" s="40" t="s">
        <v>45</v>
      </c>
      <c r="G384" s="43">
        <f t="shared" si="36"/>
        <v>1.843</v>
      </c>
      <c r="H384" s="44" t="s">
        <v>1916</v>
      </c>
      <c r="I384" s="40" t="s">
        <v>62</v>
      </c>
      <c r="J384" s="40">
        <f t="shared" si="23"/>
        <v>3.686</v>
      </c>
      <c r="K384" s="40">
        <v>3.88</v>
      </c>
      <c r="L384" s="38" t="s">
        <v>1917</v>
      </c>
      <c r="M384" s="46">
        <v>100.0</v>
      </c>
      <c r="N384" s="46">
        <v>700.0</v>
      </c>
      <c r="O384" s="42" t="s">
        <v>34</v>
      </c>
      <c r="P384" s="46">
        <v>7.0</v>
      </c>
      <c r="Q384" s="48">
        <f t="shared" si="37"/>
        <v>17</v>
      </c>
      <c r="R384" s="47">
        <f t="array" ref="R384">INDIRECT("'renta'!G$"&amp;MATCH(O384,renta!$A:$A,0))*P384</f>
        <v>928.7750711</v>
      </c>
      <c r="S384" s="48">
        <f t="shared" si="38"/>
        <v>2122.918548</v>
      </c>
      <c r="T384" s="49" t="str">
        <f t="shared" si="25"/>
        <v>STEAM</v>
      </c>
      <c r="U384" s="50">
        <f t="shared" si="5"/>
        <v>0.5451234865</v>
      </c>
      <c r="V384" s="80">
        <v>100.0</v>
      </c>
      <c r="W384" s="52">
        <f t="shared" si="6"/>
        <v>-0.49234</v>
      </c>
      <c r="X384" s="52">
        <f t="shared" si="39"/>
        <v>14.07445183</v>
      </c>
      <c r="Y384" s="80">
        <v>0.0</v>
      </c>
      <c r="Z384" s="39">
        <v>-0.125</v>
      </c>
      <c r="AA384" s="81" t="s">
        <v>2068</v>
      </c>
      <c r="AB384" s="82" t="s">
        <v>2069</v>
      </c>
      <c r="AC384" s="54" t="s">
        <v>1913</v>
      </c>
      <c r="AD384" s="82" t="s">
        <v>2070</v>
      </c>
      <c r="AE384" s="54" t="s">
        <v>2071</v>
      </c>
      <c r="AF384" s="40" t="s">
        <v>806</v>
      </c>
      <c r="AG384" s="40" t="s">
        <v>2072</v>
      </c>
      <c r="AH384" s="87">
        <v>7.0</v>
      </c>
      <c r="AI384" s="39"/>
    </row>
    <row r="385">
      <c r="A385" s="58" t="s">
        <v>2073</v>
      </c>
      <c r="B385" s="59">
        <v>1.0</v>
      </c>
      <c r="C385" s="60">
        <v>0.8125</v>
      </c>
      <c r="D385" s="61">
        <f t="array" ref="D385">IFERROR(INDIRECT("'renta'!G$"&amp;MATCH(T385,renta!$A:$A,0))*0.975-(G385*INDIRECT("'renta'!G$"&amp;MATCH(F385,renta!$A:$A,0)))/B385-IFERROR((J385*INDIRECT("'renta'!G$"&amp;MATCH(I385,renta!$A:$A,0)))/B385,0),)</f>
        <v>-38.442</v>
      </c>
      <c r="E385" s="41">
        <f t="shared" si="1"/>
        <v>-3.942769231</v>
      </c>
      <c r="F385" s="61" t="s">
        <v>45</v>
      </c>
      <c r="G385" s="62">
        <f t="shared" si="36"/>
        <v>1.824</v>
      </c>
      <c r="H385" s="63" t="s">
        <v>1921</v>
      </c>
      <c r="I385" s="61" t="s">
        <v>62</v>
      </c>
      <c r="J385" s="61">
        <f t="shared" si="23"/>
        <v>3.6575</v>
      </c>
      <c r="K385" s="61">
        <v>3.85</v>
      </c>
      <c r="L385" s="59" t="s">
        <v>1922</v>
      </c>
      <c r="M385" s="65">
        <v>100.0</v>
      </c>
      <c r="N385" s="65">
        <v>700.0</v>
      </c>
      <c r="O385" s="66" t="s">
        <v>34</v>
      </c>
      <c r="P385" s="65">
        <v>9.0</v>
      </c>
      <c r="Q385" s="68">
        <f t="shared" si="37"/>
        <v>26</v>
      </c>
      <c r="R385" s="67">
        <f t="array" ref="R385">INDIRECT("'renta'!G$"&amp;MATCH(O385,renta!$A:$A,0))*P385</f>
        <v>1194.139377</v>
      </c>
      <c r="S385" s="68">
        <f t="shared" si="38"/>
        <v>3317.057925</v>
      </c>
      <c r="T385" s="69" t="str">
        <f t="shared" si="25"/>
        <v>STEAM</v>
      </c>
      <c r="U385" s="70">
        <f t="shared" si="5"/>
        <v>0.5335539202</v>
      </c>
      <c r="V385" s="71">
        <v>100.0</v>
      </c>
      <c r="W385" s="72">
        <f t="shared" si="6"/>
        <v>-0.38442</v>
      </c>
      <c r="X385" s="72">
        <f t="shared" si="39"/>
        <v>9.037471008</v>
      </c>
      <c r="Y385" s="71">
        <v>0.0</v>
      </c>
      <c r="Z385" s="60">
        <v>-0.08333333333333333</v>
      </c>
      <c r="AA385" s="85" t="s">
        <v>1911</v>
      </c>
      <c r="AB385" s="74" t="s">
        <v>2074</v>
      </c>
      <c r="AC385" s="75" t="s">
        <v>1924</v>
      </c>
      <c r="AD385" s="74" t="s">
        <v>2075</v>
      </c>
      <c r="AE385" s="75" t="s">
        <v>2076</v>
      </c>
      <c r="AF385" s="61" t="s">
        <v>806</v>
      </c>
      <c r="AG385" s="61" t="s">
        <v>2077</v>
      </c>
      <c r="AH385" s="86">
        <v>7.0</v>
      </c>
      <c r="AI385" s="60"/>
    </row>
    <row r="386">
      <c r="A386" s="78" t="s">
        <v>2078</v>
      </c>
      <c r="B386" s="38">
        <v>1.0</v>
      </c>
      <c r="C386" s="39">
        <v>0.75</v>
      </c>
      <c r="D386" s="40">
        <f t="array" ref="D386">IFERROR(INDIRECT("'renta'!G$"&amp;MATCH(T386,renta!$A:$A,0))*0.975-(G386*INDIRECT("'renta'!G$"&amp;MATCH(F386,renta!$A:$A,0)))/B386-IFERROR((J386*INDIRECT("'renta'!G$"&amp;MATCH(I386,renta!$A:$A,0)))/B386,0),)</f>
        <v>-25.37</v>
      </c>
      <c r="E386" s="41">
        <f t="shared" si="1"/>
        <v>-2.818888889</v>
      </c>
      <c r="F386" s="40" t="s">
        <v>45</v>
      </c>
      <c r="G386" s="43">
        <f t="shared" si="36"/>
        <v>1.805</v>
      </c>
      <c r="H386" s="44" t="s">
        <v>1927</v>
      </c>
      <c r="I386" s="40" t="s">
        <v>62</v>
      </c>
      <c r="J386" s="40">
        <f t="shared" si="23"/>
        <v>3.6195</v>
      </c>
      <c r="K386" s="40">
        <v>3.81</v>
      </c>
      <c r="L386" s="38" t="s">
        <v>1928</v>
      </c>
      <c r="M386" s="46">
        <v>100.0</v>
      </c>
      <c r="N386" s="46">
        <v>700.0</v>
      </c>
      <c r="O386" s="42" t="s">
        <v>34</v>
      </c>
      <c r="P386" s="46">
        <v>12.0</v>
      </c>
      <c r="Q386" s="48">
        <f t="shared" si="37"/>
        <v>38</v>
      </c>
      <c r="R386" s="47">
        <f t="array" ref="R386">INDIRECT("'renta'!G$"&amp;MATCH(O386,renta!$A:$A,0))*P386</f>
        <v>1592.185836</v>
      </c>
      <c r="S386" s="48">
        <f t="shared" si="38"/>
        <v>4909.243761</v>
      </c>
      <c r="T386" s="49" t="str">
        <f t="shared" si="25"/>
        <v>STEAM</v>
      </c>
      <c r="U386" s="50">
        <f t="shared" si="5"/>
        <v>0.7058725912</v>
      </c>
      <c r="V386" s="80">
        <v>100.0</v>
      </c>
      <c r="W386" s="52">
        <f t="shared" si="6"/>
        <v>-0.2537</v>
      </c>
      <c r="X386" s="52">
        <f t="shared" si="39"/>
        <v>8.210096902</v>
      </c>
      <c r="Y386" s="80">
        <v>0.0</v>
      </c>
      <c r="Z386" s="39">
        <v>-0.0625</v>
      </c>
      <c r="AA386" s="81" t="s">
        <v>1918</v>
      </c>
      <c r="AB386" s="82" t="s">
        <v>2079</v>
      </c>
      <c r="AC386" s="54" t="s">
        <v>1929</v>
      </c>
      <c r="AD386" s="111">
        <v>46239.0</v>
      </c>
      <c r="AE386" s="54" t="s">
        <v>2080</v>
      </c>
      <c r="AF386" s="40" t="s">
        <v>806</v>
      </c>
      <c r="AG386" s="40" t="s">
        <v>2081</v>
      </c>
      <c r="AH386" s="87">
        <v>7.0</v>
      </c>
      <c r="AI386" s="39"/>
    </row>
    <row r="387">
      <c r="A387" s="58" t="s">
        <v>2082</v>
      </c>
      <c r="B387" s="59">
        <v>1.0</v>
      </c>
      <c r="C387" s="60">
        <v>0.6875</v>
      </c>
      <c r="D387" s="61">
        <f t="array" ref="D387">IFERROR(INDIRECT("'renta'!G$"&amp;MATCH(T387,renta!$A:$A,0))*0.975-(G387*INDIRECT("'renta'!G$"&amp;MATCH(F387,renta!$A:$A,0)))/B387-IFERROR((J387*INDIRECT("'renta'!G$"&amp;MATCH(I387,renta!$A:$A,0)))/B387,0),)</f>
        <v>-14.274</v>
      </c>
      <c r="E387" s="41">
        <f t="shared" si="1"/>
        <v>-1.730181818</v>
      </c>
      <c r="F387" s="61" t="s">
        <v>45</v>
      </c>
      <c r="G387" s="62">
        <f t="shared" si="36"/>
        <v>1.7955</v>
      </c>
      <c r="H387" s="63" t="s">
        <v>1932</v>
      </c>
      <c r="I387" s="61" t="s">
        <v>62</v>
      </c>
      <c r="J387" s="61">
        <f t="shared" si="23"/>
        <v>3.5815</v>
      </c>
      <c r="K387" s="61">
        <v>3.77</v>
      </c>
      <c r="L387" s="59" t="s">
        <v>1933</v>
      </c>
      <c r="M387" s="65">
        <v>100.0</v>
      </c>
      <c r="N387" s="65">
        <v>700.0</v>
      </c>
      <c r="O387" s="66" t="s">
        <v>34</v>
      </c>
      <c r="P387" s="65">
        <v>15.0</v>
      </c>
      <c r="Q387" s="68">
        <f t="shared" si="37"/>
        <v>53</v>
      </c>
      <c r="R387" s="67">
        <f t="array" ref="R387">INDIRECT("'renta'!G$"&amp;MATCH(O387,renta!$A:$A,0))*P387</f>
        <v>1990.232295</v>
      </c>
      <c r="S387" s="68">
        <f t="shared" si="38"/>
        <v>6899.476057</v>
      </c>
      <c r="T387" s="69" t="str">
        <f t="shared" si="25"/>
        <v>STEAM</v>
      </c>
      <c r="U387" s="70">
        <f t="shared" si="5"/>
        <v>0.5470251253</v>
      </c>
      <c r="V387" s="71">
        <v>100.0</v>
      </c>
      <c r="W387" s="72">
        <f t="shared" si="6"/>
        <v>-0.14274</v>
      </c>
      <c r="X387" s="72">
        <f t="shared" si="39"/>
        <v>5.575228594</v>
      </c>
      <c r="Y387" s="71">
        <v>0.0</v>
      </c>
      <c r="Z387" s="60">
        <v>-0.0625</v>
      </c>
      <c r="AA387" s="85" t="s">
        <v>1158</v>
      </c>
      <c r="AB387" s="74" t="s">
        <v>2083</v>
      </c>
      <c r="AC387" s="75" t="s">
        <v>1935</v>
      </c>
      <c r="AD387" s="74" t="s">
        <v>1953</v>
      </c>
      <c r="AE387" s="75" t="s">
        <v>2080</v>
      </c>
      <c r="AF387" s="61" t="s">
        <v>806</v>
      </c>
      <c r="AG387" s="61" t="s">
        <v>2084</v>
      </c>
      <c r="AH387" s="86">
        <v>7.0</v>
      </c>
      <c r="AI387" s="60"/>
    </row>
    <row r="388">
      <c r="A388" s="78" t="s">
        <v>2085</v>
      </c>
      <c r="B388" s="38">
        <v>1.0</v>
      </c>
      <c r="C388" s="39">
        <v>0.625</v>
      </c>
      <c r="D388" s="40">
        <f t="array" ref="D388">IFERROR(INDIRECT("'renta'!G$"&amp;MATCH(T388,renta!$A:$A,0))*0.975-(G388*INDIRECT("'renta'!G$"&amp;MATCH(F388,renta!$A:$A,0)))/B388-IFERROR((J388*INDIRECT("'renta'!G$"&amp;MATCH(I388,renta!$A:$A,0)))/B388,0),)</f>
        <v>-3.482</v>
      </c>
      <c r="E388" s="41">
        <f t="shared" si="1"/>
        <v>-0.4642666667</v>
      </c>
      <c r="F388" s="40" t="s">
        <v>45</v>
      </c>
      <c r="G388" s="43">
        <f t="shared" si="36"/>
        <v>1.7765</v>
      </c>
      <c r="H388" s="44" t="s">
        <v>1938</v>
      </c>
      <c r="I388" s="40" t="s">
        <v>62</v>
      </c>
      <c r="J388" s="40">
        <f t="shared" si="23"/>
        <v>3.553</v>
      </c>
      <c r="K388" s="40">
        <v>3.74</v>
      </c>
      <c r="L388" s="38" t="s">
        <v>1939</v>
      </c>
      <c r="M388" s="46">
        <v>100.0</v>
      </c>
      <c r="N388" s="46">
        <v>700.0</v>
      </c>
      <c r="O388" s="42" t="s">
        <v>34</v>
      </c>
      <c r="P388" s="46">
        <v>20.0</v>
      </c>
      <c r="Q388" s="48">
        <f t="shared" si="37"/>
        <v>73</v>
      </c>
      <c r="R388" s="47">
        <f t="array" ref="R388">INDIRECT("'renta'!G$"&amp;MATCH(O388,renta!$A:$A,0))*P388</f>
        <v>2653.64306</v>
      </c>
      <c r="S388" s="48">
        <f t="shared" si="38"/>
        <v>9553.119117</v>
      </c>
      <c r="T388" s="49" t="str">
        <f t="shared" si="25"/>
        <v>STEAM</v>
      </c>
      <c r="U388" s="50">
        <f t="shared" si="5"/>
        <v>0.4770480139</v>
      </c>
      <c r="V388" s="80">
        <v>100.0</v>
      </c>
      <c r="W388" s="52">
        <f t="shared" si="6"/>
        <v>-0.03482</v>
      </c>
      <c r="X388" s="52">
        <f t="shared" si="39"/>
        <v>4.066861954</v>
      </c>
      <c r="Y388" s="80">
        <v>0.0</v>
      </c>
      <c r="Z388" s="39">
        <v>-0.0625</v>
      </c>
      <c r="AA388" s="53">
        <v>0.1</v>
      </c>
      <c r="AB388" s="82" t="s">
        <v>2086</v>
      </c>
      <c r="AC388" s="54" t="s">
        <v>1941</v>
      </c>
      <c r="AD388" s="82" t="s">
        <v>2087</v>
      </c>
      <c r="AE388" s="54" t="s">
        <v>2088</v>
      </c>
      <c r="AF388" s="40" t="s">
        <v>806</v>
      </c>
      <c r="AG388" s="40" t="s">
        <v>2089</v>
      </c>
      <c r="AH388" s="87">
        <v>7.0</v>
      </c>
      <c r="AI388" s="39"/>
    </row>
    <row r="389">
      <c r="A389" s="58" t="s">
        <v>2090</v>
      </c>
      <c r="B389" s="59">
        <v>1.0</v>
      </c>
      <c r="C389" s="60">
        <v>0.5625</v>
      </c>
      <c r="D389" s="61">
        <f t="array" ref="D389">IFERROR(INDIRECT("'renta'!G$"&amp;MATCH(T389,renta!$A:$A,0))*0.975-(G389*INDIRECT("'renta'!G$"&amp;MATCH(F389,renta!$A:$A,0)))/B389-IFERROR((J389*INDIRECT("'renta'!G$"&amp;MATCH(I389,renta!$A:$A,0)))/B389,0),)</f>
        <v>9.59</v>
      </c>
      <c r="E389" s="41">
        <f t="shared" si="1"/>
        <v>1.420740741</v>
      </c>
      <c r="F389" s="61" t="s">
        <v>45</v>
      </c>
      <c r="G389" s="62">
        <f t="shared" si="36"/>
        <v>1.7575</v>
      </c>
      <c r="H389" s="63" t="s">
        <v>1944</v>
      </c>
      <c r="I389" s="61" t="s">
        <v>62</v>
      </c>
      <c r="J389" s="61">
        <f t="shared" si="23"/>
        <v>3.515</v>
      </c>
      <c r="K389" s="61">
        <v>3.7</v>
      </c>
      <c r="L389" s="59" t="s">
        <v>1945</v>
      </c>
      <c r="M389" s="65">
        <v>100.0</v>
      </c>
      <c r="N389" s="65">
        <v>700.0</v>
      </c>
      <c r="O389" s="66" t="s">
        <v>34</v>
      </c>
      <c r="P389" s="65">
        <v>27.0</v>
      </c>
      <c r="Q389" s="68">
        <f t="shared" si="37"/>
        <v>100</v>
      </c>
      <c r="R389" s="67">
        <f t="array" ref="R389">INDIRECT("'renta'!G$"&amp;MATCH(O389,renta!$A:$A,0))*P389</f>
        <v>3582.418131</v>
      </c>
      <c r="S389" s="68">
        <f t="shared" si="38"/>
        <v>13135.53725</v>
      </c>
      <c r="T389" s="69" t="str">
        <f t="shared" si="25"/>
        <v>STEAM</v>
      </c>
      <c r="U389" s="70">
        <f t="shared" si="5"/>
        <v>0.5261829687</v>
      </c>
      <c r="V389" s="71">
        <v>100.0</v>
      </c>
      <c r="W389" s="72">
        <f t="shared" si="6"/>
        <v>0.0959</v>
      </c>
      <c r="X389" s="72">
        <f t="shared" si="39"/>
        <v>3.648931956</v>
      </c>
      <c r="Y389" s="71">
        <v>0.0</v>
      </c>
      <c r="Z389" s="60">
        <v>-0.0625</v>
      </c>
      <c r="AA389" s="85" t="s">
        <v>627</v>
      </c>
      <c r="AB389" s="74" t="s">
        <v>2091</v>
      </c>
      <c r="AC389" s="75" t="s">
        <v>1947</v>
      </c>
      <c r="AD389" s="74" t="s">
        <v>2092</v>
      </c>
      <c r="AE389" s="75" t="s">
        <v>1729</v>
      </c>
      <c r="AF389" s="61" t="s">
        <v>806</v>
      </c>
      <c r="AG389" s="61" t="s">
        <v>2093</v>
      </c>
      <c r="AH389" s="86">
        <v>7.0</v>
      </c>
      <c r="AI389" s="60"/>
    </row>
    <row r="390">
      <c r="A390" s="78" t="s">
        <v>2094</v>
      </c>
      <c r="B390" s="38">
        <v>2.0</v>
      </c>
      <c r="C390" s="39">
        <v>0.9791666666666666</v>
      </c>
      <c r="D390" s="40">
        <f t="array" ref="D390">IFERROR(INDIRECT("'renta'!G$"&amp;MATCH(T390,renta!$A:$A,0))*0.975-(G390*INDIRECT("'renta'!G$"&amp;MATCH(F390,renta!$A:$A,0)))/B390-IFERROR((J390*INDIRECT("'renta'!G$"&amp;MATCH(I390,renta!$A:$A,0)))/B390,0),)</f>
        <v>19.394</v>
      </c>
      <c r="E390" s="41">
        <f t="shared" si="1"/>
        <v>3.301106383</v>
      </c>
      <c r="F390" s="40" t="s">
        <v>45</v>
      </c>
      <c r="G390" s="43">
        <f t="shared" si="36"/>
        <v>3.4865</v>
      </c>
      <c r="H390" s="44" t="s">
        <v>1950</v>
      </c>
      <c r="I390" s="40" t="s">
        <v>62</v>
      </c>
      <c r="J390" s="40">
        <f t="shared" si="23"/>
        <v>6.973</v>
      </c>
      <c r="K390" s="40">
        <v>7.34</v>
      </c>
      <c r="L390" s="38" t="s">
        <v>1951</v>
      </c>
      <c r="M390" s="46">
        <v>196.0</v>
      </c>
      <c r="N390" s="46">
        <v>700.0</v>
      </c>
      <c r="O390" s="42" t="s">
        <v>34</v>
      </c>
      <c r="P390" s="46">
        <v>36.0</v>
      </c>
      <c r="Q390" s="48">
        <f t="shared" si="37"/>
        <v>136</v>
      </c>
      <c r="R390" s="47">
        <f t="array" ref="R390">INDIRECT("'renta'!G$"&amp;MATCH(O390,renta!$A:$A,0))*P390</f>
        <v>4776.557508</v>
      </c>
      <c r="S390" s="48">
        <f t="shared" si="38"/>
        <v>17912.09476</v>
      </c>
      <c r="T390" s="49" t="str">
        <f t="shared" si="25"/>
        <v>STEAM</v>
      </c>
      <c r="U390" s="50">
        <f t="shared" si="5"/>
        <v>0.3936654461</v>
      </c>
      <c r="V390" s="80">
        <v>200.0</v>
      </c>
      <c r="W390" s="52">
        <f t="shared" si="6"/>
        <v>0.19394</v>
      </c>
      <c r="X390" s="52">
        <f t="shared" si="39"/>
        <v>2.052524225</v>
      </c>
      <c r="Y390" s="80">
        <v>1.0</v>
      </c>
      <c r="Z390" s="39">
        <v>0.4166666666666667</v>
      </c>
      <c r="AA390" s="81" t="s">
        <v>2095</v>
      </c>
      <c r="AB390" s="82" t="s">
        <v>2096</v>
      </c>
      <c r="AC390" s="54" t="s">
        <v>1953</v>
      </c>
      <c r="AD390" s="82" t="s">
        <v>2097</v>
      </c>
      <c r="AE390" s="54" t="s">
        <v>1246</v>
      </c>
      <c r="AF390" s="40" t="s">
        <v>806</v>
      </c>
      <c r="AG390" s="40" t="s">
        <v>2098</v>
      </c>
      <c r="AH390" s="87">
        <v>7.0</v>
      </c>
      <c r="AI390" s="39"/>
    </row>
    <row r="391">
      <c r="A391" s="58" t="s">
        <v>2099</v>
      </c>
      <c r="B391" s="59">
        <v>2.0</v>
      </c>
      <c r="C391" s="60">
        <v>0.7916666666666666</v>
      </c>
      <c r="D391" s="61">
        <f t="array" ref="D391">IFERROR(INDIRECT("'renta'!G$"&amp;MATCH(T391,renta!$A:$A,0))*0.975-(G391*INDIRECT("'renta'!G$"&amp;MATCH(F391,renta!$A:$A,0)))/B391-IFERROR((J391*INDIRECT("'renta'!G$"&amp;MATCH(I391,renta!$A:$A,0)))/B391,0),)</f>
        <v>30.338</v>
      </c>
      <c r="E391" s="41">
        <f t="shared" si="1"/>
        <v>6.386947368</v>
      </c>
      <c r="F391" s="61" t="s">
        <v>45</v>
      </c>
      <c r="G391" s="62">
        <f t="shared" si="36"/>
        <v>3.458</v>
      </c>
      <c r="H391" s="63" t="s">
        <v>1956</v>
      </c>
      <c r="I391" s="61" t="s">
        <v>62</v>
      </c>
      <c r="J391" s="61">
        <f t="shared" si="23"/>
        <v>6.9065</v>
      </c>
      <c r="K391" s="61">
        <v>7.27</v>
      </c>
      <c r="L391" s="59" t="s">
        <v>1957</v>
      </c>
      <c r="M391" s="65">
        <v>196.0</v>
      </c>
      <c r="N391" s="65">
        <v>700.0</v>
      </c>
      <c r="O391" s="66" t="s">
        <v>34</v>
      </c>
      <c r="P391" s="65">
        <v>48.0</v>
      </c>
      <c r="Q391" s="68">
        <f t="shared" si="37"/>
        <v>184</v>
      </c>
      <c r="R391" s="67">
        <f t="array" ref="R391">INDIRECT("'renta'!G$"&amp;MATCH(O391,renta!$A:$A,0))*P391</f>
        <v>6368.743345</v>
      </c>
      <c r="S391" s="68">
        <f t="shared" si="38"/>
        <v>24280.8381</v>
      </c>
      <c r="T391" s="69" t="str">
        <f t="shared" si="25"/>
        <v>STEAM</v>
      </c>
      <c r="U391" s="70">
        <f t="shared" si="5"/>
        <v>0.4845290222</v>
      </c>
      <c r="V391" s="71">
        <v>200.0</v>
      </c>
      <c r="W391" s="72">
        <f t="shared" si="6"/>
        <v>0.30338</v>
      </c>
      <c r="X391" s="72">
        <f t="shared" si="39"/>
        <v>1.718392375</v>
      </c>
      <c r="Y391" s="71">
        <v>0.0</v>
      </c>
      <c r="Z391" s="60">
        <v>-0.1875</v>
      </c>
      <c r="AA391" s="85" t="s">
        <v>2100</v>
      </c>
      <c r="AB391" s="74" t="s">
        <v>2101</v>
      </c>
      <c r="AC391" s="75" t="s">
        <v>1959</v>
      </c>
      <c r="AD391" s="74" t="s">
        <v>2102</v>
      </c>
      <c r="AE391" s="75" t="s">
        <v>1738</v>
      </c>
      <c r="AF391" s="61" t="s">
        <v>806</v>
      </c>
      <c r="AG391" s="61" t="s">
        <v>2103</v>
      </c>
      <c r="AH391" s="86">
        <v>7.0</v>
      </c>
      <c r="AI391" s="60"/>
    </row>
    <row r="392">
      <c r="A392" s="78" t="s">
        <v>2104</v>
      </c>
      <c r="B392" s="38">
        <v>2.0</v>
      </c>
      <c r="C392" s="39">
        <v>0.625</v>
      </c>
      <c r="D392" s="40">
        <f t="array" ref="D392">IFERROR(INDIRECT("'renta'!G$"&amp;MATCH(T392,renta!$A:$A,0))*0.975-(G392*INDIRECT("'renta'!G$"&amp;MATCH(F392,renta!$A:$A,0)))/B392-IFERROR((J392*INDIRECT("'renta'!G$"&amp;MATCH(I392,renta!$A:$A,0)))/B392,0),)</f>
        <v>41.13</v>
      </c>
      <c r="E392" s="41">
        <f t="shared" si="1"/>
        <v>10.968</v>
      </c>
      <c r="F392" s="40" t="s">
        <v>45</v>
      </c>
      <c r="G392" s="43">
        <f t="shared" si="36"/>
        <v>3.42</v>
      </c>
      <c r="H392" s="44" t="s">
        <v>1962</v>
      </c>
      <c r="I392" s="40" t="s">
        <v>62</v>
      </c>
      <c r="J392" s="40">
        <f t="shared" si="23"/>
        <v>6.8495</v>
      </c>
      <c r="K392" s="40">
        <v>7.21</v>
      </c>
      <c r="L392" s="38" t="s">
        <v>1963</v>
      </c>
      <c r="M392" s="46">
        <v>196.0</v>
      </c>
      <c r="N392" s="46">
        <v>700.0</v>
      </c>
      <c r="O392" s="42" t="s">
        <v>34</v>
      </c>
      <c r="P392" s="46">
        <v>65.0</v>
      </c>
      <c r="Q392" s="48">
        <f t="shared" si="37"/>
        <v>249</v>
      </c>
      <c r="R392" s="47">
        <f t="array" ref="R392">INDIRECT("'renta'!G$"&amp;MATCH(O392,renta!$A:$A,0))*P392</f>
        <v>8624.339946</v>
      </c>
      <c r="S392" s="48">
        <f t="shared" si="38"/>
        <v>32905.17805</v>
      </c>
      <c r="T392" s="49" t="str">
        <f t="shared" si="25"/>
        <v>STEAM</v>
      </c>
      <c r="U392" s="50">
        <f t="shared" si="5"/>
        <v>0.5311771869</v>
      </c>
      <c r="V392" s="80">
        <v>200.0</v>
      </c>
      <c r="W392" s="52">
        <f t="shared" si="6"/>
        <v>0.4113</v>
      </c>
      <c r="X392" s="52">
        <f t="shared" si="39"/>
        <v>1.25134214</v>
      </c>
      <c r="Y392" s="80">
        <v>0.0</v>
      </c>
      <c r="Z392" s="39">
        <v>-0.16666666666666666</v>
      </c>
      <c r="AA392" s="81" t="s">
        <v>2105</v>
      </c>
      <c r="AB392" s="82" t="s">
        <v>2106</v>
      </c>
      <c r="AC392" s="54" t="s">
        <v>1965</v>
      </c>
      <c r="AD392" s="82" t="s">
        <v>2107</v>
      </c>
      <c r="AE392" s="54" t="s">
        <v>1748</v>
      </c>
      <c r="AF392" s="40" t="s">
        <v>806</v>
      </c>
      <c r="AG392" s="40" t="s">
        <v>2108</v>
      </c>
      <c r="AH392" s="87">
        <v>7.0</v>
      </c>
      <c r="AI392" s="39"/>
    </row>
    <row r="393">
      <c r="A393" s="58" t="s">
        <v>2109</v>
      </c>
      <c r="B393" s="59">
        <v>2.0</v>
      </c>
      <c r="C393" s="60">
        <v>0.4791666666666667</v>
      </c>
      <c r="D393" s="61">
        <f t="array" ref="D393">IFERROR(INDIRECT("'renta'!G$"&amp;MATCH(T393,renta!$A:$A,0))*0.975-(G393*INDIRECT("'renta'!G$"&amp;MATCH(F393,renta!$A:$A,0)))/B393-IFERROR((J393*INDIRECT("'renta'!G$"&amp;MATCH(I393,renta!$A:$A,0)))/B393,0),)</f>
        <v>52.074</v>
      </c>
      <c r="E393" s="41">
        <f t="shared" si="1"/>
        <v>18.11269565</v>
      </c>
      <c r="F393" s="61" t="s">
        <v>45</v>
      </c>
      <c r="G393" s="62">
        <f t="shared" si="36"/>
        <v>3.3915</v>
      </c>
      <c r="H393" s="63" t="s">
        <v>1968</v>
      </c>
      <c r="I393" s="61" t="s">
        <v>62</v>
      </c>
      <c r="J393" s="61">
        <f t="shared" si="23"/>
        <v>6.783</v>
      </c>
      <c r="K393" s="61">
        <v>7.14</v>
      </c>
      <c r="L393" s="59" t="s">
        <v>1969</v>
      </c>
      <c r="M393" s="65">
        <v>196.0</v>
      </c>
      <c r="N393" s="65">
        <v>700.0</v>
      </c>
      <c r="O393" s="66" t="s">
        <v>34</v>
      </c>
      <c r="P393" s="65">
        <v>87.0</v>
      </c>
      <c r="Q393" s="68">
        <f t="shared" si="37"/>
        <v>336</v>
      </c>
      <c r="R393" s="67">
        <f t="array" ref="R393">INDIRECT("'renta'!G$"&amp;MATCH(O393,renta!$A:$A,0))*P393</f>
        <v>11543.34731</v>
      </c>
      <c r="S393" s="68">
        <f t="shared" si="38"/>
        <v>44448.52536</v>
      </c>
      <c r="T393" s="69" t="str">
        <f t="shared" si="25"/>
        <v>STEAM</v>
      </c>
      <c r="U393" s="70">
        <f t="shared" si="5"/>
        <v>0.6189448744</v>
      </c>
      <c r="V393" s="71">
        <v>200.0</v>
      </c>
      <c r="W393" s="72">
        <f t="shared" si="6"/>
        <v>0.52074</v>
      </c>
      <c r="X393" s="72">
        <f t="shared" si="39"/>
        <v>0.9480785516</v>
      </c>
      <c r="Y393" s="71">
        <v>0.0</v>
      </c>
      <c r="Z393" s="60">
        <v>-0.14583333333333334</v>
      </c>
      <c r="AA393" s="85" t="s">
        <v>2110</v>
      </c>
      <c r="AB393" s="74" t="s">
        <v>2111</v>
      </c>
      <c r="AC393" s="75" t="s">
        <v>1970</v>
      </c>
      <c r="AD393" s="74" t="s">
        <v>2112</v>
      </c>
      <c r="AE393" s="75" t="s">
        <v>1756</v>
      </c>
      <c r="AF393" s="61" t="s">
        <v>806</v>
      </c>
      <c r="AG393" s="61" t="s">
        <v>2113</v>
      </c>
      <c r="AH393" s="86">
        <v>7.0</v>
      </c>
      <c r="AI393" s="60"/>
    </row>
    <row r="394">
      <c r="A394" s="78" t="s">
        <v>2114</v>
      </c>
      <c r="B394" s="38">
        <v>2.0</v>
      </c>
      <c r="C394" s="39">
        <v>0.3333333333333333</v>
      </c>
      <c r="D394" s="40">
        <f t="array" ref="D394">IFERROR(INDIRECT("'renta'!G$"&amp;MATCH(T394,renta!$A:$A,0))*0.975-(G394*INDIRECT("'renta'!G$"&amp;MATCH(F394,renta!$A:$A,0)))/B394-IFERROR((J394*INDIRECT("'renta'!G$"&amp;MATCH(I394,renta!$A:$A,0)))/B394,0),)</f>
        <v>61.878</v>
      </c>
      <c r="E394" s="41">
        <f t="shared" si="1"/>
        <v>30.939</v>
      </c>
      <c r="F394" s="40" t="s">
        <v>45</v>
      </c>
      <c r="G394" s="43">
        <f t="shared" si="36"/>
        <v>3.363</v>
      </c>
      <c r="H394" s="44" t="s">
        <v>1972</v>
      </c>
      <c r="I394" s="40" t="s">
        <v>62</v>
      </c>
      <c r="J394" s="40">
        <f t="shared" si="23"/>
        <v>6.726</v>
      </c>
      <c r="K394" s="38">
        <v>7.08</v>
      </c>
      <c r="L394" s="38" t="s">
        <v>1973</v>
      </c>
      <c r="M394" s="46">
        <v>196.0</v>
      </c>
      <c r="N394" s="46">
        <v>700.0</v>
      </c>
      <c r="O394" s="42" t="s">
        <v>34</v>
      </c>
      <c r="P394" s="46">
        <v>118.0</v>
      </c>
      <c r="Q394" s="48">
        <f t="shared" si="37"/>
        <v>454</v>
      </c>
      <c r="R394" s="47">
        <f t="array" ref="R394">INDIRECT("'renta'!G$"&amp;MATCH(O394,renta!$A:$A,0))*P394</f>
        <v>15656.49406</v>
      </c>
      <c r="S394" s="48">
        <f t="shared" si="38"/>
        <v>60105.01941</v>
      </c>
      <c r="T394" s="49" t="str">
        <f t="shared" si="25"/>
        <v>STEAM</v>
      </c>
      <c r="U394" s="50">
        <f t="shared" si="5"/>
        <v>0.8192322178</v>
      </c>
      <c r="V394" s="80">
        <v>200.0</v>
      </c>
      <c r="W394" s="52">
        <f t="shared" si="6"/>
        <v>0.61878</v>
      </c>
      <c r="X394" s="52">
        <f t="shared" si="39"/>
        <v>0.6261938315</v>
      </c>
      <c r="Y394" s="80">
        <v>0.0</v>
      </c>
      <c r="Z394" s="39">
        <v>-0.14583333333333334</v>
      </c>
      <c r="AA394" s="81" t="s">
        <v>2115</v>
      </c>
      <c r="AB394" s="82" t="s">
        <v>1974</v>
      </c>
      <c r="AC394" s="54" t="s">
        <v>1246</v>
      </c>
      <c r="AD394" s="82" t="s">
        <v>2116</v>
      </c>
      <c r="AE394" s="54" t="s">
        <v>1761</v>
      </c>
      <c r="AF394" s="40" t="s">
        <v>806</v>
      </c>
      <c r="AG394" s="40" t="s">
        <v>2117</v>
      </c>
      <c r="AH394" s="87">
        <v>7.0</v>
      </c>
      <c r="AI394" s="39"/>
    </row>
    <row r="395">
      <c r="A395" s="58" t="s">
        <v>2118</v>
      </c>
      <c r="B395" s="59">
        <v>3.0</v>
      </c>
      <c r="C395" s="60">
        <v>0.3333333333333333</v>
      </c>
      <c r="D395" s="61">
        <f t="array" ref="D395">IFERROR(INDIRECT("'renta'!G$"&amp;MATCH(T395,renta!$A:$A,0))*0.975-(G395*INDIRECT("'renta'!G$"&amp;MATCH(F395,renta!$A:$A,0)))/B395-IFERROR((J395*INDIRECT("'renta'!G$"&amp;MATCH(I395,renta!$A:$A,0)))/B395,0),)</f>
        <v>82.246</v>
      </c>
      <c r="E395" s="41">
        <f t="shared" si="1"/>
        <v>61.6845</v>
      </c>
      <c r="F395" s="61" t="s">
        <v>45</v>
      </c>
      <c r="G395" s="62">
        <f t="shared" si="36"/>
        <v>4.959</v>
      </c>
      <c r="H395" s="63" t="s">
        <v>1976</v>
      </c>
      <c r="I395" s="61" t="s">
        <v>62</v>
      </c>
      <c r="J395" s="61">
        <f t="shared" si="23"/>
        <v>9.9085</v>
      </c>
      <c r="K395" s="61">
        <v>10.43</v>
      </c>
      <c r="L395" s="59" t="s">
        <v>1366</v>
      </c>
      <c r="M395" s="65">
        <v>285.0</v>
      </c>
      <c r="N395" s="65">
        <v>700.0</v>
      </c>
      <c r="O395" s="66" t="s">
        <v>34</v>
      </c>
      <c r="P395" s="65">
        <v>160.0</v>
      </c>
      <c r="Q395" s="68">
        <f t="shared" si="37"/>
        <v>614</v>
      </c>
      <c r="R395" s="67">
        <f t="array" ref="R395">INDIRECT("'renta'!G$"&amp;MATCH(O395,renta!$A:$A,0))*P395</f>
        <v>21229.14448</v>
      </c>
      <c r="S395" s="68">
        <f t="shared" si="38"/>
        <v>81334.1639</v>
      </c>
      <c r="T395" s="69" t="str">
        <f t="shared" si="25"/>
        <v>STEAM</v>
      </c>
      <c r="U395" s="70">
        <f t="shared" si="5"/>
        <v>1.448268442</v>
      </c>
      <c r="V395" s="71">
        <v>300.0</v>
      </c>
      <c r="W395" s="72">
        <f t="shared" si="6"/>
        <v>0.82246</v>
      </c>
      <c r="X395" s="72"/>
      <c r="Y395" s="71">
        <v>1.0</v>
      </c>
      <c r="Z395" s="60">
        <v>0.0</v>
      </c>
      <c r="AA395" s="73">
        <v>0.5</v>
      </c>
      <c r="AB395" s="74" t="s">
        <v>1977</v>
      </c>
      <c r="AC395" s="75" t="s">
        <v>1761</v>
      </c>
      <c r="AD395" s="74" t="s">
        <v>2119</v>
      </c>
      <c r="AE395" s="75" t="s">
        <v>1258</v>
      </c>
      <c r="AF395" s="61" t="s">
        <v>806</v>
      </c>
      <c r="AG395" s="61" t="s">
        <v>2120</v>
      </c>
      <c r="AH395" s="86">
        <v>7.0</v>
      </c>
      <c r="AI395" s="60"/>
    </row>
    <row r="396">
      <c r="A396" s="88"/>
      <c r="B396" s="89"/>
      <c r="C396" s="90"/>
      <c r="D396" s="40" t="str">
        <f t="array" ref="D396">IFERROR(INDIRECT("'renta'!G$"&amp;MATCH(T396,renta!$A:$A,0))*0.975-(G396*INDIRECT("'renta'!G$"&amp;MATCH(F396,renta!$A:$A,0)))/B396-IFERROR((J396*INDIRECT("'renta'!G$"&amp;MATCH(I396,renta!$A:$A,0)))/B396,0),)</f>
        <v/>
      </c>
      <c r="E396" s="41">
        <f t="shared" si="1"/>
        <v>0</v>
      </c>
      <c r="F396" s="79"/>
      <c r="G396" s="43">
        <f t="shared" si="36"/>
        <v>0</v>
      </c>
      <c r="H396" s="91"/>
      <c r="I396" s="79"/>
      <c r="J396" s="40">
        <f t="shared" si="23"/>
        <v>0</v>
      </c>
      <c r="K396" s="79"/>
      <c r="L396" s="92"/>
      <c r="M396" s="93"/>
      <c r="N396" s="93"/>
      <c r="O396" s="45"/>
      <c r="P396" s="93"/>
      <c r="Q396" s="93"/>
      <c r="R396" s="47"/>
      <c r="S396" s="48"/>
      <c r="T396" s="49" t="str">
        <f t="shared" si="25"/>
        <v/>
      </c>
      <c r="U396" s="50" t="str">
        <f t="shared" si="5"/>
        <v>#DIV/0!</v>
      </c>
      <c r="V396" s="94"/>
      <c r="W396" s="52" t="str">
        <f t="shared" si="6"/>
        <v/>
      </c>
      <c r="X396" s="52"/>
      <c r="Y396" s="94"/>
      <c r="Z396" s="90"/>
      <c r="AA396" s="95"/>
      <c r="AB396" s="50"/>
      <c r="AC396" s="83"/>
      <c r="AD396" s="50"/>
      <c r="AE396" s="83"/>
      <c r="AF396" s="79"/>
      <c r="AG396" s="79"/>
      <c r="AH396" s="84"/>
      <c r="AI396" s="90"/>
    </row>
    <row r="397">
      <c r="A397" s="58" t="s">
        <v>2121</v>
      </c>
      <c r="B397" s="59">
        <v>1.0</v>
      </c>
      <c r="C397" s="60">
        <v>2.0</v>
      </c>
      <c r="D397" s="61">
        <f t="array" ref="D397">IFERROR(INDIRECT("'renta'!G$"&amp;MATCH(T397,renta!$A:$A,0))*0.975-(G397*INDIRECT("'renta'!G$"&amp;MATCH(F397,renta!$A:$A,0)))/B397-IFERROR((J397*INDIRECT("'renta'!G$"&amp;MATCH(I397,renta!$A:$A,0)))/B397,0),)</f>
        <v>23.91509919</v>
      </c>
      <c r="E397" s="41">
        <f t="shared" si="1"/>
        <v>1.514622948</v>
      </c>
      <c r="F397" s="61" t="s">
        <v>30</v>
      </c>
      <c r="G397" s="62">
        <f t="shared" si="36"/>
        <v>2.85</v>
      </c>
      <c r="H397" s="63" t="s">
        <v>136</v>
      </c>
      <c r="I397" s="64"/>
      <c r="J397" s="61">
        <f t="shared" si="23"/>
        <v>0</v>
      </c>
      <c r="K397" s="64"/>
      <c r="L397" s="59" t="s">
        <v>137</v>
      </c>
      <c r="M397" s="65">
        <v>25.0</v>
      </c>
      <c r="N397" s="65">
        <v>600.0</v>
      </c>
      <c r="O397" s="66" t="s">
        <v>12</v>
      </c>
      <c r="P397" s="65">
        <v>1.0</v>
      </c>
      <c r="Q397" s="65"/>
      <c r="R397" s="67">
        <f t="array" ref="R397">INDIRECT("'renta'!G$"&amp;MATCH(O397,renta!$A:$A,0))*P397</f>
        <v>0.0041</v>
      </c>
      <c r="S397" s="68">
        <f t="shared" ref="S397:S411" si="40">SUM(R$397:R397)</f>
        <v>0.0041</v>
      </c>
      <c r="T397" s="69" t="str">
        <f t="shared" si="25"/>
        <v>SCREWS</v>
      </c>
      <c r="U397" s="70">
        <f t="shared" si="5"/>
        <v>369420.2313</v>
      </c>
      <c r="V397" s="71">
        <v>25.0</v>
      </c>
      <c r="W397" s="72">
        <f t="shared" si="6"/>
        <v>0.9566039675</v>
      </c>
      <c r="X397" s="72"/>
      <c r="Y397" s="71">
        <v>0.0</v>
      </c>
      <c r="Z397" s="60">
        <v>0.0</v>
      </c>
      <c r="AA397" s="73">
        <v>0.0</v>
      </c>
      <c r="AB397" s="74" t="s">
        <v>2054</v>
      </c>
      <c r="AC397" s="75" t="s">
        <v>147</v>
      </c>
      <c r="AD397" s="70"/>
      <c r="AE397" s="76"/>
      <c r="AF397" s="61" t="s">
        <v>806</v>
      </c>
      <c r="AG397" s="61" t="s">
        <v>2122</v>
      </c>
      <c r="AH397" s="86">
        <v>24.0</v>
      </c>
      <c r="AI397" s="59">
        <v>0.52</v>
      </c>
    </row>
    <row r="398">
      <c r="A398" s="78" t="s">
        <v>2123</v>
      </c>
      <c r="B398" s="38">
        <v>1.0</v>
      </c>
      <c r="C398" s="39">
        <v>1.4583333333333333</v>
      </c>
      <c r="D398" s="40">
        <f t="array" ref="D398">IFERROR(INDIRECT("'renta'!G$"&amp;MATCH(T398,renta!$A:$A,0))*0.975-(G398*INDIRECT("'renta'!G$"&amp;MATCH(F398,renta!$A:$A,0)))/B398-IFERROR((J398*INDIRECT("'renta'!G$"&amp;MATCH(I398,renta!$A:$A,0)))/B398,0),)</f>
        <v>24.61809919</v>
      </c>
      <c r="E398" s="41">
        <f t="shared" si="1"/>
        <v>2.138257758</v>
      </c>
      <c r="F398" s="40" t="s">
        <v>30</v>
      </c>
      <c r="G398" s="43">
        <f t="shared" si="36"/>
        <v>2.831</v>
      </c>
      <c r="H398" s="44" t="s">
        <v>2124</v>
      </c>
      <c r="I398" s="79"/>
      <c r="J398" s="40">
        <f t="shared" si="23"/>
        <v>0</v>
      </c>
      <c r="K398" s="79"/>
      <c r="L398" s="38" t="s">
        <v>2125</v>
      </c>
      <c r="M398" s="46">
        <v>25.0</v>
      </c>
      <c r="N398" s="46">
        <v>600.0</v>
      </c>
      <c r="O398" s="42" t="s">
        <v>34</v>
      </c>
      <c r="P398" s="46">
        <v>3.0</v>
      </c>
      <c r="Q398" s="48">
        <f t="shared" ref="Q398:Q411" si="41">SUM(P$398:P398)</f>
        <v>3</v>
      </c>
      <c r="R398" s="47">
        <f t="array" ref="R398">INDIRECT("'renta'!G$"&amp;MATCH(O398,renta!$A:$A,0))*P398</f>
        <v>398.046459</v>
      </c>
      <c r="S398" s="48">
        <f t="shared" si="40"/>
        <v>398.050559</v>
      </c>
      <c r="T398" s="49" t="str">
        <f t="shared" si="25"/>
        <v>SCREWS</v>
      </c>
      <c r="U398" s="50">
        <f t="shared" si="5"/>
        <v>1.566738744</v>
      </c>
      <c r="V398" s="80">
        <v>25.0</v>
      </c>
      <c r="W398" s="52">
        <f t="shared" si="6"/>
        <v>0.9847239675</v>
      </c>
      <c r="X398" s="52">
        <f t="shared" ref="X398:X410" si="42">(W398-W397)/R398*100000</f>
        <v>7.064501985</v>
      </c>
      <c r="Y398" s="80">
        <v>0.0</v>
      </c>
      <c r="Z398" s="39">
        <v>-0.5416666666666666</v>
      </c>
      <c r="AA398" s="81" t="s">
        <v>2126</v>
      </c>
      <c r="AB398" s="111">
        <v>46114.0</v>
      </c>
      <c r="AC398" s="54" t="s">
        <v>2127</v>
      </c>
      <c r="AD398" s="50"/>
      <c r="AE398" s="83"/>
      <c r="AF398" s="40" t="s">
        <v>806</v>
      </c>
      <c r="AG398" s="40" t="s">
        <v>2128</v>
      </c>
      <c r="AH398" s="87">
        <v>24.0</v>
      </c>
      <c r="AI398" s="38">
        <v>0.52</v>
      </c>
    </row>
    <row r="399">
      <c r="A399" s="58" t="s">
        <v>2129</v>
      </c>
      <c r="B399" s="59">
        <v>1.0</v>
      </c>
      <c r="C399" s="60">
        <v>1.1666666666666667</v>
      </c>
      <c r="D399" s="61">
        <f t="array" ref="D399">IFERROR(INDIRECT("'renta'!G$"&amp;MATCH(T399,renta!$A:$A,0))*0.975-(G399*INDIRECT("'renta'!G$"&amp;MATCH(F399,renta!$A:$A,0)))/B399-IFERROR((J399*INDIRECT("'renta'!G$"&amp;MATCH(I399,renta!$A:$A,0)))/B399,0),)</f>
        <v>25.32109919</v>
      </c>
      <c r="E399" s="41">
        <f t="shared" si="1"/>
        <v>2.749147912</v>
      </c>
      <c r="F399" s="61" t="s">
        <v>30</v>
      </c>
      <c r="G399" s="62">
        <f t="shared" si="36"/>
        <v>2.812</v>
      </c>
      <c r="H399" s="63" t="s">
        <v>2130</v>
      </c>
      <c r="I399" s="64"/>
      <c r="J399" s="61">
        <f t="shared" si="23"/>
        <v>0</v>
      </c>
      <c r="K399" s="64"/>
      <c r="L399" s="59" t="s">
        <v>2131</v>
      </c>
      <c r="M399" s="65">
        <v>25.0</v>
      </c>
      <c r="N399" s="65">
        <v>600.0</v>
      </c>
      <c r="O399" s="66" t="s">
        <v>34</v>
      </c>
      <c r="P399" s="65">
        <v>5.0</v>
      </c>
      <c r="Q399" s="68">
        <f t="shared" si="41"/>
        <v>8</v>
      </c>
      <c r="R399" s="67">
        <f t="array" ref="R399">INDIRECT("'renta'!G$"&amp;MATCH(O399,renta!$A:$A,0))*P399</f>
        <v>663.4107651</v>
      </c>
      <c r="S399" s="68">
        <f t="shared" si="40"/>
        <v>1061.461324</v>
      </c>
      <c r="T399" s="69" t="str">
        <f t="shared" si="25"/>
        <v>SCREWS</v>
      </c>
      <c r="U399" s="70">
        <f t="shared" si="5"/>
        <v>0.9208324404</v>
      </c>
      <c r="V399" s="71">
        <v>25.0</v>
      </c>
      <c r="W399" s="72">
        <f t="shared" si="6"/>
        <v>1.012843967</v>
      </c>
      <c r="X399" s="72">
        <f t="shared" si="42"/>
        <v>4.238701191</v>
      </c>
      <c r="Y399" s="71">
        <v>0.0</v>
      </c>
      <c r="Z399" s="60">
        <v>-0.2916666666666667</v>
      </c>
      <c r="AA399" s="73">
        <v>0.25</v>
      </c>
      <c r="AB399" s="74" t="s">
        <v>2079</v>
      </c>
      <c r="AC399" s="75" t="s">
        <v>2132</v>
      </c>
      <c r="AD399" s="70"/>
      <c r="AE399" s="76"/>
      <c r="AF399" s="61" t="s">
        <v>806</v>
      </c>
      <c r="AG399" s="61" t="s">
        <v>2133</v>
      </c>
      <c r="AH399" s="86">
        <v>24.0</v>
      </c>
      <c r="AI399" s="59">
        <v>0.52</v>
      </c>
    </row>
    <row r="400">
      <c r="A400" s="78" t="s">
        <v>2134</v>
      </c>
      <c r="B400" s="38">
        <v>1.0</v>
      </c>
      <c r="C400" s="39">
        <v>0.9583333333333334</v>
      </c>
      <c r="D400" s="40">
        <f t="array" ref="D400">IFERROR(INDIRECT("'renta'!G$"&amp;MATCH(T400,renta!$A:$A,0))*0.975-(G400*INDIRECT("'renta'!G$"&amp;MATCH(F400,renta!$A:$A,0)))/B400-IFERROR((J400*INDIRECT("'renta'!G$"&amp;MATCH(I400,renta!$A:$A,0)))/B400,0),)</f>
        <v>26.02409919</v>
      </c>
      <c r="E400" s="41">
        <f t="shared" si="1"/>
        <v>3.439707023</v>
      </c>
      <c r="F400" s="40" t="s">
        <v>30</v>
      </c>
      <c r="G400" s="43">
        <f t="shared" si="36"/>
        <v>2.793</v>
      </c>
      <c r="H400" s="44" t="s">
        <v>2135</v>
      </c>
      <c r="I400" s="79"/>
      <c r="J400" s="40">
        <f t="shared" si="23"/>
        <v>0</v>
      </c>
      <c r="K400" s="79"/>
      <c r="L400" s="38" t="s">
        <v>2136</v>
      </c>
      <c r="M400" s="46">
        <v>25.0</v>
      </c>
      <c r="N400" s="46">
        <v>600.0</v>
      </c>
      <c r="O400" s="42" t="s">
        <v>34</v>
      </c>
      <c r="P400" s="46">
        <v>7.0</v>
      </c>
      <c r="Q400" s="48">
        <f t="shared" si="41"/>
        <v>15</v>
      </c>
      <c r="R400" s="47">
        <f t="array" ref="R400">INDIRECT("'renta'!G$"&amp;MATCH(O400,renta!$A:$A,0))*P400</f>
        <v>928.7750711</v>
      </c>
      <c r="S400" s="48">
        <f t="shared" si="40"/>
        <v>1990.236395</v>
      </c>
      <c r="T400" s="49" t="str">
        <f t="shared" si="25"/>
        <v>SCREWS</v>
      </c>
      <c r="U400" s="50">
        <f t="shared" si="5"/>
        <v>0.7435159844</v>
      </c>
      <c r="V400" s="80">
        <v>25.0</v>
      </c>
      <c r="W400" s="52">
        <f t="shared" si="6"/>
        <v>1.040963967</v>
      </c>
      <c r="X400" s="52">
        <f t="shared" si="42"/>
        <v>3.027643708</v>
      </c>
      <c r="Y400" s="80">
        <v>0.0</v>
      </c>
      <c r="Z400" s="39">
        <v>-0.20833333333333334</v>
      </c>
      <c r="AA400" s="81" t="s">
        <v>165</v>
      </c>
      <c r="AB400" s="111">
        <v>46206.0</v>
      </c>
      <c r="AC400" s="54" t="s">
        <v>2137</v>
      </c>
      <c r="AD400" s="50"/>
      <c r="AE400" s="83"/>
      <c r="AF400" s="40" t="s">
        <v>806</v>
      </c>
      <c r="AG400" s="40" t="s">
        <v>2138</v>
      </c>
      <c r="AH400" s="87">
        <v>24.0</v>
      </c>
      <c r="AI400" s="38">
        <v>0.52</v>
      </c>
    </row>
    <row r="401">
      <c r="A401" s="58" t="s">
        <v>2139</v>
      </c>
      <c r="B401" s="59">
        <v>1.0</v>
      </c>
      <c r="C401" s="60">
        <v>0.8125</v>
      </c>
      <c r="D401" s="61">
        <f t="array" ref="D401">IFERROR(INDIRECT("'renta'!G$"&amp;MATCH(T401,renta!$A:$A,0))*0.975-(G401*INDIRECT("'renta'!G$"&amp;MATCH(F401,renta!$A:$A,0)))/B401-IFERROR((J401*INDIRECT("'renta'!G$"&amp;MATCH(I401,renta!$A:$A,0)))/B401,0),)</f>
        <v>27.07859919</v>
      </c>
      <c r="E401" s="41">
        <f t="shared" si="1"/>
        <v>4.221484181</v>
      </c>
      <c r="F401" s="61" t="s">
        <v>30</v>
      </c>
      <c r="G401" s="62">
        <f t="shared" si="36"/>
        <v>2.7645</v>
      </c>
      <c r="H401" s="63" t="s">
        <v>2140</v>
      </c>
      <c r="I401" s="64"/>
      <c r="J401" s="61">
        <f t="shared" si="23"/>
        <v>0</v>
      </c>
      <c r="K401" s="64"/>
      <c r="L401" s="59" t="s">
        <v>2141</v>
      </c>
      <c r="M401" s="65">
        <v>25.0</v>
      </c>
      <c r="N401" s="65">
        <v>600.0</v>
      </c>
      <c r="O401" s="66" t="s">
        <v>34</v>
      </c>
      <c r="P401" s="65">
        <v>10.0</v>
      </c>
      <c r="Q401" s="68">
        <f t="shared" si="41"/>
        <v>25</v>
      </c>
      <c r="R401" s="67">
        <f t="array" ref="R401">INDIRECT("'renta'!G$"&amp;MATCH(O401,renta!$A:$A,0))*P401</f>
        <v>1326.82153</v>
      </c>
      <c r="S401" s="68">
        <f t="shared" si="40"/>
        <v>3317.057925</v>
      </c>
      <c r="T401" s="69" t="str">
        <f t="shared" si="25"/>
        <v>SCREWS</v>
      </c>
      <c r="U401" s="70">
        <f t="shared" si="5"/>
        <v>0.5892104855</v>
      </c>
      <c r="V401" s="71">
        <v>25.0</v>
      </c>
      <c r="W401" s="72">
        <f t="shared" si="6"/>
        <v>1.083143967</v>
      </c>
      <c r="X401" s="72">
        <f t="shared" si="42"/>
        <v>3.179025893</v>
      </c>
      <c r="Y401" s="71">
        <v>0.0</v>
      </c>
      <c r="Z401" s="60">
        <v>-0.14583333333333334</v>
      </c>
      <c r="AA401" s="85" t="s">
        <v>2142</v>
      </c>
      <c r="AB401" s="74" t="s">
        <v>2143</v>
      </c>
      <c r="AC401" s="75" t="s">
        <v>2144</v>
      </c>
      <c r="AD401" s="70"/>
      <c r="AE401" s="76"/>
      <c r="AF401" s="61" t="s">
        <v>806</v>
      </c>
      <c r="AG401" s="61" t="s">
        <v>2145</v>
      </c>
      <c r="AH401" s="86">
        <v>24.0</v>
      </c>
      <c r="AI401" s="59">
        <v>0.52</v>
      </c>
    </row>
    <row r="402">
      <c r="A402" s="78" t="s">
        <v>2146</v>
      </c>
      <c r="B402" s="38">
        <v>1.0</v>
      </c>
      <c r="C402" s="39">
        <v>0.7083333333333334</v>
      </c>
      <c r="D402" s="40">
        <f t="array" ref="D402">IFERROR(INDIRECT("'renta'!G$"&amp;MATCH(T402,renta!$A:$A,0))*0.975-(G402*INDIRECT("'renta'!G$"&amp;MATCH(F402,renta!$A:$A,0)))/B402-IFERROR((J402*INDIRECT("'renta'!G$"&amp;MATCH(I402,renta!$A:$A,0)))/B402,0),)</f>
        <v>28.13309919</v>
      </c>
      <c r="E402" s="41">
        <f t="shared" si="1"/>
        <v>5.03086009</v>
      </c>
      <c r="F402" s="40" t="s">
        <v>30</v>
      </c>
      <c r="G402" s="43">
        <f t="shared" si="36"/>
        <v>2.736</v>
      </c>
      <c r="H402" s="44" t="s">
        <v>2147</v>
      </c>
      <c r="I402" s="79"/>
      <c r="J402" s="40">
        <f t="shared" si="23"/>
        <v>0</v>
      </c>
      <c r="K402" s="79"/>
      <c r="L402" s="38" t="s">
        <v>2148</v>
      </c>
      <c r="M402" s="46">
        <v>25.0</v>
      </c>
      <c r="N402" s="46">
        <v>600.0</v>
      </c>
      <c r="O402" s="42" t="s">
        <v>34</v>
      </c>
      <c r="P402" s="46">
        <v>13.0</v>
      </c>
      <c r="Q402" s="48">
        <f t="shared" si="41"/>
        <v>38</v>
      </c>
      <c r="R402" s="47">
        <f t="array" ref="R402">INDIRECT("'renta'!G$"&amp;MATCH(O402,renta!$A:$A,0))*P402</f>
        <v>1724.867989</v>
      </c>
      <c r="S402" s="48">
        <f t="shared" si="40"/>
        <v>5041.925914</v>
      </c>
      <c r="T402" s="49" t="str">
        <f t="shared" si="25"/>
        <v>SCREWS</v>
      </c>
      <c r="U402" s="50">
        <f t="shared" si="5"/>
        <v>0.4692393354</v>
      </c>
      <c r="V402" s="80">
        <v>25.0</v>
      </c>
      <c r="W402" s="52">
        <f t="shared" si="6"/>
        <v>1.125323967</v>
      </c>
      <c r="X402" s="52">
        <f t="shared" si="42"/>
        <v>2.445404533</v>
      </c>
      <c r="Y402" s="80">
        <v>0.0</v>
      </c>
      <c r="Z402" s="39">
        <v>-0.10416666666666667</v>
      </c>
      <c r="AA402" s="81" t="s">
        <v>2149</v>
      </c>
      <c r="AB402" s="111">
        <v>46207.0</v>
      </c>
      <c r="AC402" s="54" t="s">
        <v>1906</v>
      </c>
      <c r="AD402" s="50"/>
      <c r="AE402" s="83"/>
      <c r="AF402" s="40" t="s">
        <v>806</v>
      </c>
      <c r="AG402" s="40" t="s">
        <v>2150</v>
      </c>
      <c r="AH402" s="87">
        <v>24.0</v>
      </c>
      <c r="AI402" s="38">
        <v>0.52</v>
      </c>
    </row>
    <row r="403">
      <c r="A403" s="58" t="s">
        <v>35</v>
      </c>
      <c r="B403" s="59">
        <v>1.0</v>
      </c>
      <c r="C403" s="116">
        <v>0.625</v>
      </c>
      <c r="D403" s="61">
        <f t="array" ref="D403">IFERROR(INDIRECT("'renta'!G$"&amp;MATCH(T403,renta!$A:$A,0))*0.975-(G403*INDIRECT("'renta'!G$"&amp;MATCH(F403,renta!$A:$A,0)))/B403-IFERROR((J403*INDIRECT("'renta'!G$"&amp;MATCH(I403,renta!$A:$A,0)))/B403,0),)</f>
        <v>29.18759919</v>
      </c>
      <c r="E403" s="41">
        <f t="shared" si="1"/>
        <v>5.915353435</v>
      </c>
      <c r="F403" s="61" t="s">
        <v>30</v>
      </c>
      <c r="G403" s="62">
        <f t="shared" si="36"/>
        <v>2.7075</v>
      </c>
      <c r="H403" s="63" t="s">
        <v>2151</v>
      </c>
      <c r="I403" s="64"/>
      <c r="J403" s="61">
        <f t="shared" si="23"/>
        <v>0</v>
      </c>
      <c r="K403" s="64"/>
      <c r="L403" s="59" t="s">
        <v>2152</v>
      </c>
      <c r="M403" s="65">
        <v>25.0</v>
      </c>
      <c r="N403" s="65">
        <v>600.0</v>
      </c>
      <c r="O403" s="66" t="s">
        <v>34</v>
      </c>
      <c r="P403" s="65">
        <v>18.0</v>
      </c>
      <c r="Q403" s="68">
        <f t="shared" si="41"/>
        <v>56</v>
      </c>
      <c r="R403" s="67">
        <f t="array" ref="R403">INDIRECT("'renta'!G$"&amp;MATCH(O403,renta!$A:$A,0))*P403</f>
        <v>2388.278754</v>
      </c>
      <c r="S403" s="68">
        <f t="shared" si="40"/>
        <v>7430.204669</v>
      </c>
      <c r="T403" s="69" t="str">
        <f t="shared" si="25"/>
        <v>SCREWS</v>
      </c>
      <c r="U403" s="70">
        <f t="shared" si="5"/>
        <v>0.370347617</v>
      </c>
      <c r="V403" s="71">
        <v>25.0</v>
      </c>
      <c r="W403" s="72">
        <f t="shared" si="6"/>
        <v>1.167503967</v>
      </c>
      <c r="X403" s="72">
        <f t="shared" si="42"/>
        <v>1.766125496</v>
      </c>
      <c r="Y403" s="71">
        <v>0.0</v>
      </c>
      <c r="Z403" s="60">
        <v>-0.08333333333333333</v>
      </c>
      <c r="AA403" s="85" t="s">
        <v>1263</v>
      </c>
      <c r="AB403" s="74" t="s">
        <v>2153</v>
      </c>
      <c r="AC403" s="75" t="s">
        <v>2154</v>
      </c>
      <c r="AD403" s="70"/>
      <c r="AE403" s="76"/>
      <c r="AF403" s="61" t="s">
        <v>806</v>
      </c>
      <c r="AG403" s="61" t="s">
        <v>2155</v>
      </c>
      <c r="AH403" s="86">
        <v>24.0</v>
      </c>
      <c r="AI403" s="59">
        <v>0.52</v>
      </c>
    </row>
    <row r="404">
      <c r="A404" s="78" t="s">
        <v>2156</v>
      </c>
      <c r="B404" s="38">
        <v>1.0</v>
      </c>
      <c r="C404" s="39">
        <v>0.5625</v>
      </c>
      <c r="D404" s="40">
        <f t="array" ref="D404">IFERROR(INDIRECT("'renta'!G$"&amp;MATCH(T404,renta!$A:$A,0))*0.975-(G404*INDIRECT("'renta'!G$"&amp;MATCH(F404,renta!$A:$A,0)))/B404-IFERROR((J404*INDIRECT("'renta'!G$"&amp;MATCH(I404,renta!$A:$A,0)))/B404,0),)</f>
        <v>30.59359919</v>
      </c>
      <c r="E404" s="41">
        <f t="shared" si="1"/>
        <v>6.889225298</v>
      </c>
      <c r="F404" s="40" t="s">
        <v>30</v>
      </c>
      <c r="G404" s="43">
        <f t="shared" si="36"/>
        <v>2.6695</v>
      </c>
      <c r="H404" s="44" t="s">
        <v>2157</v>
      </c>
      <c r="I404" s="79"/>
      <c r="J404" s="40">
        <f t="shared" si="23"/>
        <v>0</v>
      </c>
      <c r="K404" s="79"/>
      <c r="L404" s="38" t="s">
        <v>2158</v>
      </c>
      <c r="M404" s="46">
        <v>25.0</v>
      </c>
      <c r="N404" s="46">
        <v>600.0</v>
      </c>
      <c r="O404" s="42" t="s">
        <v>34</v>
      </c>
      <c r="P404" s="46">
        <v>24.0</v>
      </c>
      <c r="Q404" s="48">
        <f t="shared" si="41"/>
        <v>80</v>
      </c>
      <c r="R404" s="47">
        <f t="array" ref="R404">INDIRECT("'renta'!G$"&amp;MATCH(O404,renta!$A:$A,0))*P404</f>
        <v>3184.371672</v>
      </c>
      <c r="S404" s="48">
        <f t="shared" si="40"/>
        <v>10614.57634</v>
      </c>
      <c r="T404" s="49" t="str">
        <f t="shared" si="25"/>
        <v>SCREWS</v>
      </c>
      <c r="U404" s="50">
        <f t="shared" si="5"/>
        <v>0.3058285789</v>
      </c>
      <c r="V404" s="80">
        <v>25.0</v>
      </c>
      <c r="W404" s="52">
        <f t="shared" si="6"/>
        <v>1.223743967</v>
      </c>
      <c r="X404" s="52">
        <f t="shared" si="42"/>
        <v>1.766125496</v>
      </c>
      <c r="Y404" s="80">
        <v>0.0</v>
      </c>
      <c r="Z404" s="39">
        <v>-0.0625</v>
      </c>
      <c r="AA404" s="81" t="s">
        <v>627</v>
      </c>
      <c r="AB404" s="82" t="s">
        <v>2159</v>
      </c>
      <c r="AC404" s="54" t="s">
        <v>2083</v>
      </c>
      <c r="AD404" s="50"/>
      <c r="AE404" s="83"/>
      <c r="AF404" s="40" t="s">
        <v>806</v>
      </c>
      <c r="AG404" s="40" t="s">
        <v>2160</v>
      </c>
      <c r="AH404" s="87">
        <v>24.0</v>
      </c>
      <c r="AI404" s="38">
        <v>0.52</v>
      </c>
    </row>
    <row r="405">
      <c r="A405" s="58" t="s">
        <v>2161</v>
      </c>
      <c r="B405" s="59">
        <v>1.0</v>
      </c>
      <c r="C405" s="60">
        <v>0.5104166666666666</v>
      </c>
      <c r="D405" s="61">
        <f t="array" ref="D405">IFERROR(INDIRECT("'renta'!G$"&amp;MATCH(T405,renta!$A:$A,0))*0.975-(G405*INDIRECT("'renta'!G$"&amp;MATCH(F405,renta!$A:$A,0)))/B405-IFERROR((J405*INDIRECT("'renta'!G$"&amp;MATCH(I405,renta!$A:$A,0)))/B405,0),)</f>
        <v>31.99959919</v>
      </c>
      <c r="E405" s="41">
        <f t="shared" si="1"/>
        <v>7.941125023</v>
      </c>
      <c r="F405" s="61" t="s">
        <v>30</v>
      </c>
      <c r="G405" s="62">
        <f t="shared" si="36"/>
        <v>2.6315</v>
      </c>
      <c r="H405" s="63" t="s">
        <v>2162</v>
      </c>
      <c r="I405" s="64"/>
      <c r="J405" s="61">
        <f t="shared" si="23"/>
        <v>0</v>
      </c>
      <c r="K405" s="64"/>
      <c r="L405" s="59" t="s">
        <v>2163</v>
      </c>
      <c r="M405" s="65">
        <v>25.0</v>
      </c>
      <c r="N405" s="65">
        <v>600.0</v>
      </c>
      <c r="O405" s="66" t="s">
        <v>34</v>
      </c>
      <c r="P405" s="65">
        <v>32.0</v>
      </c>
      <c r="Q405" s="68">
        <f t="shared" si="41"/>
        <v>112</v>
      </c>
      <c r="R405" s="67">
        <f t="array" ref="R405">INDIRECT("'renta'!G$"&amp;MATCH(O405,renta!$A:$A,0))*P405</f>
        <v>4245.828896</v>
      </c>
      <c r="S405" s="68">
        <f t="shared" si="40"/>
        <v>14860.40524</v>
      </c>
      <c r="T405" s="69" t="str">
        <f t="shared" si="25"/>
        <v>SCREWS</v>
      </c>
      <c r="U405" s="70">
        <f t="shared" si="5"/>
        <v>0.2477489673</v>
      </c>
      <c r="V405" s="71">
        <v>25.0</v>
      </c>
      <c r="W405" s="72">
        <f t="shared" si="6"/>
        <v>1.279983967</v>
      </c>
      <c r="X405" s="72">
        <f t="shared" si="42"/>
        <v>1.324594122</v>
      </c>
      <c r="Y405" s="71">
        <v>0.0</v>
      </c>
      <c r="Z405" s="60">
        <v>-0.052083333333333336</v>
      </c>
      <c r="AA405" s="85" t="s">
        <v>2164</v>
      </c>
      <c r="AB405" s="74" t="s">
        <v>2165</v>
      </c>
      <c r="AC405" s="75" t="s">
        <v>2166</v>
      </c>
      <c r="AD405" s="70"/>
      <c r="AE405" s="76"/>
      <c r="AF405" s="61" t="s">
        <v>806</v>
      </c>
      <c r="AG405" s="61" t="s">
        <v>2167</v>
      </c>
      <c r="AH405" s="86">
        <v>24.0</v>
      </c>
      <c r="AI405" s="59">
        <v>0.52</v>
      </c>
    </row>
    <row r="406">
      <c r="A406" s="78" t="s">
        <v>2168</v>
      </c>
      <c r="B406" s="38">
        <v>1.0</v>
      </c>
      <c r="C406" s="117" t="s">
        <v>2169</v>
      </c>
      <c r="D406" s="40">
        <f t="array" ref="D406">IFERROR(INDIRECT("'renta'!G$"&amp;MATCH(T406,renta!$A:$A,0))*0.975-(G406*INDIRECT("'renta'!G$"&amp;MATCH(F406,renta!$A:$A,0)))/B406-IFERROR((J406*INDIRECT("'renta'!G$"&amp;MATCH(I406,renta!$A:$A,0)))/B406,0),)</f>
        <v>33.75709919</v>
      </c>
      <c r="E406" s="41">
        <f t="shared" si="1"/>
        <v>9.097657937</v>
      </c>
      <c r="F406" s="40" t="s">
        <v>30</v>
      </c>
      <c r="G406" s="43">
        <f t="shared" si="36"/>
        <v>2.584</v>
      </c>
      <c r="H406" s="44" t="s">
        <v>2170</v>
      </c>
      <c r="I406" s="79"/>
      <c r="J406" s="40">
        <f t="shared" si="23"/>
        <v>0</v>
      </c>
      <c r="K406" s="79"/>
      <c r="L406" s="38" t="s">
        <v>2171</v>
      </c>
      <c r="M406" s="46">
        <v>25.0</v>
      </c>
      <c r="N406" s="46">
        <v>600.0</v>
      </c>
      <c r="O406" s="42" t="s">
        <v>34</v>
      </c>
      <c r="P406" s="46">
        <v>42.0</v>
      </c>
      <c r="Q406" s="48">
        <f t="shared" si="41"/>
        <v>154</v>
      </c>
      <c r="R406" s="47">
        <f t="array" ref="R406">INDIRECT("'renta'!G$"&amp;MATCH(O406,renta!$A:$A,0))*P406</f>
        <v>5572.650427</v>
      </c>
      <c r="S406" s="48">
        <f t="shared" si="40"/>
        <v>20433.05566</v>
      </c>
      <c r="T406" s="49" t="str">
        <f t="shared" si="25"/>
        <v>SCREWS</v>
      </c>
      <c r="U406" s="109">
        <f t="shared" si="5"/>
        <v>0.2075373163</v>
      </c>
      <c r="V406" s="80">
        <v>25.0</v>
      </c>
      <c r="W406" s="52">
        <f t="shared" si="6"/>
        <v>1.350283967</v>
      </c>
      <c r="X406" s="52">
        <f t="shared" si="42"/>
        <v>1.261518212</v>
      </c>
      <c r="Y406" s="80">
        <v>0.0</v>
      </c>
      <c r="Z406" s="39">
        <v>-0.041666666666666664</v>
      </c>
      <c r="AA406" s="81" t="s">
        <v>2172</v>
      </c>
      <c r="AB406" s="82" t="s">
        <v>2173</v>
      </c>
      <c r="AC406" s="54" t="s">
        <v>2174</v>
      </c>
      <c r="AD406" s="50"/>
      <c r="AE406" s="83"/>
      <c r="AF406" s="40" t="s">
        <v>806</v>
      </c>
      <c r="AG406" s="40" t="s">
        <v>2175</v>
      </c>
      <c r="AH406" s="87">
        <v>24.0</v>
      </c>
      <c r="AI406" s="38">
        <v>0.52</v>
      </c>
    </row>
    <row r="407">
      <c r="A407" s="58" t="s">
        <v>2176</v>
      </c>
      <c r="B407" s="59">
        <v>1.0</v>
      </c>
      <c r="C407" s="60">
        <v>0.4305555555555556</v>
      </c>
      <c r="D407" s="61">
        <f t="array" ref="D407">IFERROR(INDIRECT("'renta'!G$"&amp;MATCH(T407,renta!$A:$A,0))*0.975-(G407*INDIRECT("'renta'!G$"&amp;MATCH(F407,renta!$A:$A,0)))/B407-IFERROR((J407*INDIRECT("'renta'!G$"&amp;MATCH(I407,renta!$A:$A,0)))/B407,0),)</f>
        <v>35.51459919</v>
      </c>
      <c r="E407" s="41">
        <f t="shared" si="1"/>
        <v>10.44816595</v>
      </c>
      <c r="F407" s="61" t="s">
        <v>30</v>
      </c>
      <c r="G407" s="62">
        <f t="shared" si="36"/>
        <v>2.5365</v>
      </c>
      <c r="H407" s="63" t="s">
        <v>2177</v>
      </c>
      <c r="I407" s="64"/>
      <c r="J407" s="61">
        <f t="shared" si="23"/>
        <v>0</v>
      </c>
      <c r="K407" s="64"/>
      <c r="L407" s="59" t="s">
        <v>2178</v>
      </c>
      <c r="M407" s="65">
        <v>25.0</v>
      </c>
      <c r="N407" s="65">
        <v>600.0</v>
      </c>
      <c r="O407" s="66" t="s">
        <v>34</v>
      </c>
      <c r="P407" s="65">
        <v>55.0</v>
      </c>
      <c r="Q407" s="68">
        <f t="shared" si="41"/>
        <v>209</v>
      </c>
      <c r="R407" s="67">
        <f t="array" ref="R407">INDIRECT("'renta'!G$"&amp;MATCH(O407,renta!$A:$A,0))*P407</f>
        <v>7297.518416</v>
      </c>
      <c r="S407" s="68">
        <f t="shared" si="40"/>
        <v>27730.57408</v>
      </c>
      <c r="T407" s="69" t="str">
        <f t="shared" si="25"/>
        <v>SCREWS</v>
      </c>
      <c r="U407" s="70">
        <f t="shared" si="5"/>
        <v>0.1850640095</v>
      </c>
      <c r="V407" s="71">
        <v>25.0</v>
      </c>
      <c r="W407" s="72">
        <f t="shared" si="6"/>
        <v>1.420583967</v>
      </c>
      <c r="X407" s="72">
        <f t="shared" si="42"/>
        <v>0.9633411798</v>
      </c>
      <c r="Y407" s="71">
        <v>0.0</v>
      </c>
      <c r="Z407" s="60">
        <v>-0.03819444444444445</v>
      </c>
      <c r="AA407" s="85" t="s">
        <v>2179</v>
      </c>
      <c r="AB407" s="74" t="s">
        <v>2180</v>
      </c>
      <c r="AC407" s="75" t="s">
        <v>2181</v>
      </c>
      <c r="AD407" s="70"/>
      <c r="AE407" s="76"/>
      <c r="AF407" s="61" t="s">
        <v>806</v>
      </c>
      <c r="AG407" s="61" t="s">
        <v>2182</v>
      </c>
      <c r="AH407" s="86">
        <v>24.0</v>
      </c>
      <c r="AI407" s="59">
        <v>0.52</v>
      </c>
    </row>
    <row r="408">
      <c r="A408" s="78" t="s">
        <v>2183</v>
      </c>
      <c r="B408" s="38">
        <v>1.0</v>
      </c>
      <c r="C408" s="39">
        <v>0.3958333333333333</v>
      </c>
      <c r="D408" s="40">
        <f t="array" ref="D408">IFERROR(INDIRECT("'renta'!G$"&amp;MATCH(T408,renta!$A:$A,0))*0.975-(G408*INDIRECT("'renta'!G$"&amp;MATCH(F408,renta!$A:$A,0)))/B408-IFERROR((J408*INDIRECT("'renta'!G$"&amp;MATCH(I408,renta!$A:$A,0)))/B408,0),)</f>
        <v>37.62359919</v>
      </c>
      <c r="E408" s="41">
        <f t="shared" si="1"/>
        <v>12.03955174</v>
      </c>
      <c r="F408" s="40" t="s">
        <v>30</v>
      </c>
      <c r="G408" s="43">
        <f t="shared" si="36"/>
        <v>2.4795</v>
      </c>
      <c r="H408" s="44" t="s">
        <v>2184</v>
      </c>
      <c r="I408" s="79"/>
      <c r="J408" s="40">
        <f t="shared" si="23"/>
        <v>0</v>
      </c>
      <c r="K408" s="79"/>
      <c r="L408" s="38" t="s">
        <v>2185</v>
      </c>
      <c r="M408" s="46">
        <v>25.0</v>
      </c>
      <c r="N408" s="46">
        <v>600.0</v>
      </c>
      <c r="O408" s="42" t="s">
        <v>34</v>
      </c>
      <c r="P408" s="46">
        <v>72.0</v>
      </c>
      <c r="Q408" s="48">
        <f t="shared" si="41"/>
        <v>281</v>
      </c>
      <c r="R408" s="47">
        <f t="array" ref="R408">INDIRECT("'renta'!G$"&amp;MATCH(O408,renta!$A:$A,0))*P408</f>
        <v>9553.115017</v>
      </c>
      <c r="S408" s="48">
        <f t="shared" si="40"/>
        <v>37283.6891</v>
      </c>
      <c r="T408" s="49" t="str">
        <f t="shared" si="25"/>
        <v>SCREWS</v>
      </c>
      <c r="U408" s="50">
        <f t="shared" si="5"/>
        <v>0.166582919</v>
      </c>
      <c r="V408" s="80">
        <v>25.0</v>
      </c>
      <c r="W408" s="52">
        <f t="shared" si="6"/>
        <v>1.504943967</v>
      </c>
      <c r="X408" s="52">
        <f t="shared" si="42"/>
        <v>0.8830627481</v>
      </c>
      <c r="Y408" s="80">
        <v>0.0</v>
      </c>
      <c r="Z408" s="39">
        <v>-0.034722222222222224</v>
      </c>
      <c r="AA408" s="81" t="s">
        <v>2186</v>
      </c>
      <c r="AB408" s="82" t="s">
        <v>2187</v>
      </c>
      <c r="AC408" s="54" t="s">
        <v>2188</v>
      </c>
      <c r="AD408" s="50"/>
      <c r="AE408" s="83"/>
      <c r="AF408" s="40" t="s">
        <v>806</v>
      </c>
      <c r="AG408" s="40" t="s">
        <v>2189</v>
      </c>
      <c r="AH408" s="87">
        <v>24.0</v>
      </c>
      <c r="AI408" s="38">
        <v>0.52</v>
      </c>
    </row>
    <row r="409">
      <c r="A409" s="58" t="s">
        <v>2190</v>
      </c>
      <c r="B409" s="59">
        <v>1.0</v>
      </c>
      <c r="C409" s="60">
        <v>0.3680555555555556</v>
      </c>
      <c r="D409" s="61">
        <f t="array" ref="D409">IFERROR(INDIRECT("'renta'!G$"&amp;MATCH(T409,renta!$A:$A,0))*0.975-(G409*INDIRECT("'renta'!G$"&amp;MATCH(F409,renta!$A:$A,0)))/B409-IFERROR((J409*INDIRECT("'renta'!G$"&amp;MATCH(I409,renta!$A:$A,0)))/B409,0),)</f>
        <v>39.73259919</v>
      </c>
      <c r="E409" s="41">
        <f t="shared" si="1"/>
        <v>13.67401149</v>
      </c>
      <c r="F409" s="61" t="s">
        <v>30</v>
      </c>
      <c r="G409" s="62">
        <f t="shared" si="36"/>
        <v>2.4225</v>
      </c>
      <c r="H409" s="63" t="s">
        <v>2191</v>
      </c>
      <c r="I409" s="64"/>
      <c r="J409" s="61">
        <f t="shared" si="23"/>
        <v>0</v>
      </c>
      <c r="K409" s="64"/>
      <c r="L409" s="59" t="s">
        <v>2192</v>
      </c>
      <c r="M409" s="65">
        <v>25.0</v>
      </c>
      <c r="N409" s="65">
        <v>600.0</v>
      </c>
      <c r="O409" s="66" t="s">
        <v>34</v>
      </c>
      <c r="P409" s="65">
        <v>93.0</v>
      </c>
      <c r="Q409" s="68">
        <f t="shared" si="41"/>
        <v>374</v>
      </c>
      <c r="R409" s="67">
        <f t="array" ref="R409">INDIRECT("'renta'!G$"&amp;MATCH(O409,renta!$A:$A,0))*P409</f>
        <v>12339.44023</v>
      </c>
      <c r="S409" s="68">
        <f t="shared" si="40"/>
        <v>49623.12933</v>
      </c>
      <c r="T409" s="69" t="str">
        <f t="shared" si="25"/>
        <v>SCREWS</v>
      </c>
      <c r="U409" s="70">
        <f t="shared" si="5"/>
        <v>0.1324581767</v>
      </c>
      <c r="V409" s="71">
        <v>25.0</v>
      </c>
      <c r="W409" s="72">
        <f t="shared" si="6"/>
        <v>1.589303967</v>
      </c>
      <c r="X409" s="72">
        <f t="shared" si="42"/>
        <v>0.6836614824</v>
      </c>
      <c r="Y409" s="71">
        <v>0.0</v>
      </c>
      <c r="Z409" s="60">
        <v>-0.027777777777777776</v>
      </c>
      <c r="AA409" s="85" t="s">
        <v>2193</v>
      </c>
      <c r="AB409" s="74" t="s">
        <v>2194</v>
      </c>
      <c r="AC409" s="75" t="s">
        <v>2195</v>
      </c>
      <c r="AD409" s="70"/>
      <c r="AE409" s="76"/>
      <c r="AF409" s="61" t="s">
        <v>806</v>
      </c>
      <c r="AG409" s="61" t="s">
        <v>2196</v>
      </c>
      <c r="AH409" s="86">
        <v>24.0</v>
      </c>
      <c r="AI409" s="59">
        <v>0.52</v>
      </c>
    </row>
    <row r="410">
      <c r="A410" s="78" t="s">
        <v>2197</v>
      </c>
      <c r="B410" s="38">
        <v>1.0</v>
      </c>
      <c r="C410" s="39">
        <v>0.3472222222222222</v>
      </c>
      <c r="D410" s="40">
        <f t="array" ref="D410">IFERROR(INDIRECT("'renta'!G$"&amp;MATCH(T410,renta!$A:$A,0))*0.975-(G410*INDIRECT("'renta'!G$"&amp;MATCH(F410,renta!$A:$A,0)))/B410-IFERROR((J410*INDIRECT("'renta'!G$"&amp;MATCH(I410,renta!$A:$A,0)))/B410,0),)</f>
        <v>42.19309919</v>
      </c>
      <c r="E410" s="41">
        <f t="shared" si="1"/>
        <v>15.39204258</v>
      </c>
      <c r="F410" s="40" t="s">
        <v>30</v>
      </c>
      <c r="G410" s="43">
        <f t="shared" si="36"/>
        <v>2.356</v>
      </c>
      <c r="H410" s="44" t="s">
        <v>2198</v>
      </c>
      <c r="I410" s="79"/>
      <c r="J410" s="40">
        <f t="shared" si="23"/>
        <v>0</v>
      </c>
      <c r="K410" s="79"/>
      <c r="L410" s="38" t="s">
        <v>2199</v>
      </c>
      <c r="M410" s="46">
        <v>25.0</v>
      </c>
      <c r="N410" s="46">
        <v>600.0</v>
      </c>
      <c r="O410" s="42" t="s">
        <v>34</v>
      </c>
      <c r="P410" s="46">
        <v>120.0</v>
      </c>
      <c r="Q410" s="48">
        <f t="shared" si="41"/>
        <v>494</v>
      </c>
      <c r="R410" s="47">
        <f t="array" ref="R410">INDIRECT("'renta'!G$"&amp;MATCH(O410,renta!$A:$A,0))*P410</f>
        <v>15921.85836</v>
      </c>
      <c r="S410" s="48">
        <f t="shared" si="40"/>
        <v>65544.98769</v>
      </c>
      <c r="T410" s="49" t="str">
        <f t="shared" si="25"/>
        <v>SCREWS</v>
      </c>
      <c r="U410" s="50">
        <f t="shared" si="5"/>
        <v>0.10790393</v>
      </c>
      <c r="V410" s="80">
        <v>25.0</v>
      </c>
      <c r="W410" s="52">
        <f t="shared" si="6"/>
        <v>1.687723967</v>
      </c>
      <c r="X410" s="52">
        <f t="shared" si="42"/>
        <v>0.6181439237</v>
      </c>
      <c r="Y410" s="80">
        <v>0.0</v>
      </c>
      <c r="Z410" s="39">
        <v>-0.020833333333333332</v>
      </c>
      <c r="AA410" s="53">
        <v>0.06</v>
      </c>
      <c r="AB410" s="82" t="s">
        <v>2200</v>
      </c>
      <c r="AC410" s="54" t="s">
        <v>2201</v>
      </c>
      <c r="AD410" s="50"/>
      <c r="AE410" s="83"/>
      <c r="AF410" s="40" t="s">
        <v>806</v>
      </c>
      <c r="AG410" s="40" t="s">
        <v>2202</v>
      </c>
      <c r="AH410" s="87">
        <v>24.0</v>
      </c>
      <c r="AI410" s="38">
        <v>0.52</v>
      </c>
    </row>
    <row r="411">
      <c r="A411" s="58" t="s">
        <v>2203</v>
      </c>
      <c r="B411" s="59">
        <v>1.0</v>
      </c>
      <c r="C411" s="60">
        <v>0.3333333333333333</v>
      </c>
      <c r="D411" s="61">
        <f t="array" ref="D411">IFERROR(INDIRECT("'renta'!G$"&amp;MATCH(T411,renta!$A:$A,0))*0.975-(G411*INDIRECT("'renta'!G$"&amp;MATCH(F411,renta!$A:$A,0)))/B411-IFERROR((J411*INDIRECT("'renta'!G$"&amp;MATCH(I411,renta!$A:$A,0)))/B411,0),)</f>
        <v>45.00509919</v>
      </c>
      <c r="E411" s="41">
        <f t="shared" si="1"/>
        <v>17.10193769</v>
      </c>
      <c r="F411" s="61" t="s">
        <v>30</v>
      </c>
      <c r="G411" s="62">
        <f t="shared" si="36"/>
        <v>2.28</v>
      </c>
      <c r="H411" s="63" t="s">
        <v>2204</v>
      </c>
      <c r="I411" s="64"/>
      <c r="J411" s="61">
        <f t="shared" si="23"/>
        <v>0</v>
      </c>
      <c r="K411" s="64"/>
      <c r="L411" s="59" t="s">
        <v>1701</v>
      </c>
      <c r="M411" s="65">
        <v>25.0</v>
      </c>
      <c r="N411" s="65">
        <v>600.0</v>
      </c>
      <c r="O411" s="66" t="s">
        <v>34</v>
      </c>
      <c r="P411" s="65">
        <v>155.0</v>
      </c>
      <c r="Q411" s="68">
        <f t="shared" si="41"/>
        <v>649</v>
      </c>
      <c r="R411" s="67">
        <f t="array" ref="R411">INDIRECT("'renta'!G$"&amp;MATCH(O411,renta!$A:$A,0))*P411</f>
        <v>20565.73372</v>
      </c>
      <c r="S411" s="68">
        <f t="shared" si="40"/>
        <v>86110.7214</v>
      </c>
      <c r="T411" s="69" t="str">
        <f t="shared" si="25"/>
        <v>SCREWS</v>
      </c>
      <c r="U411" s="70">
        <f t="shared" si="5"/>
        <v>0.08314291779</v>
      </c>
      <c r="V411" s="71">
        <v>25.0</v>
      </c>
      <c r="W411" s="72">
        <f t="shared" si="6"/>
        <v>1.800203967</v>
      </c>
      <c r="X411" s="72"/>
      <c r="Y411" s="71">
        <v>0.0</v>
      </c>
      <c r="Z411" s="60">
        <v>-0.013888888888888888</v>
      </c>
      <c r="AA411" s="85" t="s">
        <v>1192</v>
      </c>
      <c r="AB411" s="74" t="s">
        <v>1471</v>
      </c>
      <c r="AC411" s="75" t="s">
        <v>2055</v>
      </c>
      <c r="AD411" s="70"/>
      <c r="AE411" s="76"/>
      <c r="AF411" s="61" t="s">
        <v>806</v>
      </c>
      <c r="AG411" s="61" t="s">
        <v>2205</v>
      </c>
      <c r="AH411" s="86">
        <v>24.0</v>
      </c>
      <c r="AI411" s="59">
        <v>0.52</v>
      </c>
    </row>
    <row r="412">
      <c r="A412" s="88"/>
      <c r="B412" s="89"/>
      <c r="C412" s="90"/>
      <c r="D412" s="40" t="str">
        <f t="array" ref="D412">IFERROR(INDIRECT("'renta'!G$"&amp;MATCH(T412,renta!$A:$A,0))*0.975-(G412*INDIRECT("'renta'!G$"&amp;MATCH(F412,renta!$A:$A,0)))/B412-IFERROR((J412*INDIRECT("'renta'!G$"&amp;MATCH(I412,renta!$A:$A,0)))/B412,0),)</f>
        <v/>
      </c>
      <c r="E412" s="41">
        <f t="shared" si="1"/>
        <v>0</v>
      </c>
      <c r="F412" s="79"/>
      <c r="G412" s="43">
        <f t="shared" si="36"/>
        <v>0</v>
      </c>
      <c r="H412" s="91"/>
      <c r="I412" s="79"/>
      <c r="J412" s="40">
        <f t="shared" si="23"/>
        <v>0</v>
      </c>
      <c r="K412" s="79"/>
      <c r="L412" s="92"/>
      <c r="M412" s="93"/>
      <c r="N412" s="93"/>
      <c r="O412" s="45"/>
      <c r="P412" s="93"/>
      <c r="Q412" s="93"/>
      <c r="R412" s="47"/>
      <c r="S412" s="48"/>
      <c r="T412" s="49" t="str">
        <f t="shared" si="25"/>
        <v/>
      </c>
      <c r="U412" s="50" t="str">
        <f t="shared" si="5"/>
        <v>#DIV/0!</v>
      </c>
      <c r="V412" s="94"/>
      <c r="W412" s="52" t="str">
        <f t="shared" si="6"/>
        <v/>
      </c>
      <c r="X412" s="52"/>
      <c r="Y412" s="94"/>
      <c r="Z412" s="90"/>
      <c r="AA412" s="95"/>
      <c r="AB412" s="50"/>
      <c r="AC412" s="83"/>
      <c r="AD412" s="50"/>
      <c r="AE412" s="83"/>
      <c r="AF412" s="79"/>
      <c r="AG412" s="79"/>
      <c r="AH412" s="84"/>
      <c r="AI412" s="90"/>
    </row>
    <row r="413">
      <c r="A413" s="58" t="s">
        <v>2206</v>
      </c>
      <c r="B413" s="59">
        <v>1.0</v>
      </c>
      <c r="C413" s="60">
        <v>2.3333333333333335</v>
      </c>
      <c r="D413" s="61">
        <f t="array" ref="D413">IFERROR(INDIRECT("'renta'!G$"&amp;MATCH(T413,renta!$A:$A,0))*0.975-(G413*INDIRECT("'renta'!G$"&amp;MATCH(F413,renta!$A:$A,0)))/B413-IFERROR((J413*INDIRECT("'renta'!G$"&amp;MATCH(I413,renta!$A:$A,0)))/B413,0),)</f>
        <v>-0.4872035251</v>
      </c>
      <c r="E413" s="41">
        <f t="shared" si="1"/>
        <v>-0.02175015737</v>
      </c>
      <c r="F413" s="61" t="s">
        <v>48</v>
      </c>
      <c r="G413" s="62">
        <f t="shared" si="36"/>
        <v>2.85</v>
      </c>
      <c r="H413" s="63" t="s">
        <v>136</v>
      </c>
      <c r="I413" s="64"/>
      <c r="J413" s="61">
        <f t="shared" si="23"/>
        <v>0</v>
      </c>
      <c r="K413" s="64"/>
      <c r="L413" s="59" t="s">
        <v>137</v>
      </c>
      <c r="M413" s="65">
        <v>200.0</v>
      </c>
      <c r="N413" s="65" t="s">
        <v>2207</v>
      </c>
      <c r="O413" s="66" t="s">
        <v>12</v>
      </c>
      <c r="P413" s="65">
        <v>1.0</v>
      </c>
      <c r="Q413" s="65"/>
      <c r="R413" s="67">
        <f t="array" ref="R413">INDIRECT("'renta'!G$"&amp;MATCH(O413,renta!$A:$A,0))*P413</f>
        <v>0.0041</v>
      </c>
      <c r="S413" s="68">
        <f t="shared" ref="S413:S427" si="43">SUM(R$413:R413)</f>
        <v>0.0041</v>
      </c>
      <c r="T413" s="69" t="str">
        <f t="shared" si="25"/>
        <v>FUEL</v>
      </c>
      <c r="U413" s="70">
        <f t="shared" si="5"/>
        <v>-5304.916432</v>
      </c>
      <c r="V413" s="71">
        <v>150.0</v>
      </c>
      <c r="W413" s="72">
        <f t="shared" si="6"/>
        <v>-0.003248023501</v>
      </c>
      <c r="X413" s="72"/>
      <c r="Y413" s="71">
        <v>0.0</v>
      </c>
      <c r="Z413" s="60">
        <v>0.0</v>
      </c>
      <c r="AA413" s="73">
        <v>0.0</v>
      </c>
      <c r="AB413" s="74" t="s">
        <v>2208</v>
      </c>
      <c r="AC413" s="75" t="s">
        <v>141</v>
      </c>
      <c r="AD413" s="70"/>
      <c r="AE413" s="76"/>
      <c r="AF413" s="61" t="s">
        <v>806</v>
      </c>
      <c r="AG413" s="61" t="s">
        <v>2209</v>
      </c>
      <c r="AH413" s="86">
        <v>8.0</v>
      </c>
      <c r="AI413" s="59">
        <v>0.25</v>
      </c>
    </row>
    <row r="414">
      <c r="A414" s="78" t="s">
        <v>2210</v>
      </c>
      <c r="B414" s="38">
        <v>1.0</v>
      </c>
      <c r="C414" s="39">
        <v>1.9166666666666667</v>
      </c>
      <c r="D414" s="40">
        <f t="array" ref="D414">IFERROR(INDIRECT("'renta'!G$"&amp;MATCH(T414,renta!$A:$A,0))*0.975-(G414*INDIRECT("'renta'!G$"&amp;MATCH(F414,renta!$A:$A,0)))/B414-IFERROR((J414*INDIRECT("'renta'!G$"&amp;MATCH(I414,renta!$A:$A,0)))/B414,0),)</f>
        <v>10.51379647</v>
      </c>
      <c r="E414" s="41">
        <f t="shared" si="1"/>
        <v>0.5714019823</v>
      </c>
      <c r="F414" s="40" t="s">
        <v>48</v>
      </c>
      <c r="G414" s="43">
        <f t="shared" si="36"/>
        <v>2.8215</v>
      </c>
      <c r="H414" s="44" t="s">
        <v>2211</v>
      </c>
      <c r="I414" s="79"/>
      <c r="J414" s="40">
        <f t="shared" si="23"/>
        <v>0</v>
      </c>
      <c r="K414" s="79"/>
      <c r="L414" s="38" t="s">
        <v>1903</v>
      </c>
      <c r="M414" s="46">
        <v>200.0</v>
      </c>
      <c r="N414" s="46" t="s">
        <v>2207</v>
      </c>
      <c r="O414" s="42" t="s">
        <v>34</v>
      </c>
      <c r="P414" s="46">
        <v>8.0</v>
      </c>
      <c r="Q414" s="48">
        <f t="shared" ref="Q414:Q427" si="44">SUM(P$414:P414)</f>
        <v>8</v>
      </c>
      <c r="R414" s="47">
        <f t="array" ref="R414">INDIRECT("'renta'!G$"&amp;MATCH(O414,renta!$A:$A,0))*P414</f>
        <v>1061.457224</v>
      </c>
      <c r="S414" s="48">
        <f t="shared" si="43"/>
        <v>1061.461324</v>
      </c>
      <c r="T414" s="49" t="str">
        <f t="shared" si="25"/>
        <v>FUEL</v>
      </c>
      <c r="U414" s="50">
        <f t="shared" si="5"/>
        <v>0.558809273</v>
      </c>
      <c r="V414" s="80">
        <v>150.0</v>
      </c>
      <c r="W414" s="52">
        <f t="shared" si="6"/>
        <v>0.0700919765</v>
      </c>
      <c r="X414" s="52">
        <f t="shared" ref="X414:X426" si="45">(W414-W413)/R414*100000</f>
        <v>6.90936934</v>
      </c>
      <c r="Y414" s="80">
        <v>0.0</v>
      </c>
      <c r="Z414" s="39">
        <v>-0.4166666666666667</v>
      </c>
      <c r="AA414" s="81" t="s">
        <v>165</v>
      </c>
      <c r="AB414" s="82" t="s">
        <v>2212</v>
      </c>
      <c r="AC414" s="54" t="s">
        <v>2213</v>
      </c>
      <c r="AD414" s="50"/>
      <c r="AE414" s="83"/>
      <c r="AF414" s="40" t="s">
        <v>806</v>
      </c>
      <c r="AG414" s="40" t="s">
        <v>2214</v>
      </c>
      <c r="AH414" s="87">
        <v>8.0</v>
      </c>
      <c r="AI414" s="38">
        <v>0.25</v>
      </c>
    </row>
    <row r="415">
      <c r="A415" s="58" t="s">
        <v>2215</v>
      </c>
      <c r="B415" s="59">
        <v>1.0</v>
      </c>
      <c r="C415" s="60">
        <v>1.6666666666666667</v>
      </c>
      <c r="D415" s="61">
        <f t="array" ref="D415">IFERROR(INDIRECT("'renta'!G$"&amp;MATCH(T415,renta!$A:$A,0))*0.975-(G415*INDIRECT("'renta'!G$"&amp;MATCH(F415,renta!$A:$A,0)))/B415-IFERROR((J415*INDIRECT("'renta'!G$"&amp;MATCH(I415,renta!$A:$A,0)))/B415,0),)</f>
        <v>21.51479647</v>
      </c>
      <c r="E415" s="41">
        <f t="shared" si="1"/>
        <v>1.34467478</v>
      </c>
      <c r="F415" s="61" t="s">
        <v>48</v>
      </c>
      <c r="G415" s="62">
        <f t="shared" si="36"/>
        <v>2.793</v>
      </c>
      <c r="H415" s="63" t="s">
        <v>2135</v>
      </c>
      <c r="I415" s="64"/>
      <c r="J415" s="61">
        <f t="shared" si="23"/>
        <v>0</v>
      </c>
      <c r="K415" s="64"/>
      <c r="L415" s="59" t="s">
        <v>1910</v>
      </c>
      <c r="M415" s="65">
        <v>200.0</v>
      </c>
      <c r="N415" s="65" t="s">
        <v>2207</v>
      </c>
      <c r="O415" s="66" t="s">
        <v>34</v>
      </c>
      <c r="P415" s="65">
        <v>9.0</v>
      </c>
      <c r="Q415" s="68">
        <f t="shared" si="44"/>
        <v>17</v>
      </c>
      <c r="R415" s="67">
        <f t="array" ref="R415">INDIRECT("'renta'!G$"&amp;MATCH(O415,renta!$A:$A,0))*P415</f>
        <v>1194.139377</v>
      </c>
      <c r="S415" s="68">
        <f t="shared" si="43"/>
        <v>2255.600701</v>
      </c>
      <c r="T415" s="69" t="str">
        <f t="shared" si="25"/>
        <v>FUEL</v>
      </c>
      <c r="U415" s="70">
        <f t="shared" si="5"/>
        <v>0.6475565685</v>
      </c>
      <c r="V415" s="71">
        <v>150.0</v>
      </c>
      <c r="W415" s="72">
        <f t="shared" si="6"/>
        <v>0.1434319765</v>
      </c>
      <c r="X415" s="72">
        <f t="shared" si="45"/>
        <v>6.141661636</v>
      </c>
      <c r="Y415" s="71">
        <v>0.0</v>
      </c>
      <c r="Z415" s="60">
        <v>-0.25</v>
      </c>
      <c r="AA415" s="73">
        <v>0.15</v>
      </c>
      <c r="AB415" s="74" t="s">
        <v>2216</v>
      </c>
      <c r="AC415" s="75" t="s">
        <v>2213</v>
      </c>
      <c r="AD415" s="70"/>
      <c r="AE415" s="76"/>
      <c r="AF415" s="61" t="s">
        <v>806</v>
      </c>
      <c r="AG415" s="61" t="s">
        <v>2217</v>
      </c>
      <c r="AH415" s="86">
        <v>8.0</v>
      </c>
      <c r="AI415" s="59">
        <v>0.25</v>
      </c>
    </row>
    <row r="416">
      <c r="A416" s="78" t="s">
        <v>2218</v>
      </c>
      <c r="B416" s="38">
        <v>1.0</v>
      </c>
      <c r="C416" s="39">
        <v>1.4583333333333333</v>
      </c>
      <c r="D416" s="40">
        <f t="array" ref="D416">IFERROR(INDIRECT("'renta'!G$"&amp;MATCH(T416,renta!$A:$A,0))*0.975-(G416*INDIRECT("'renta'!G$"&amp;MATCH(F416,renta!$A:$A,0)))/B416-IFERROR((J416*INDIRECT("'renta'!G$"&amp;MATCH(I416,renta!$A:$A,0)))/B416,0),)</f>
        <v>32.51579647</v>
      </c>
      <c r="E416" s="41">
        <f t="shared" si="1"/>
        <v>2.322556891</v>
      </c>
      <c r="F416" s="40" t="s">
        <v>48</v>
      </c>
      <c r="G416" s="43">
        <f t="shared" si="36"/>
        <v>2.7645</v>
      </c>
      <c r="H416" s="44" t="s">
        <v>2140</v>
      </c>
      <c r="I416" s="79"/>
      <c r="J416" s="40">
        <f t="shared" si="23"/>
        <v>0</v>
      </c>
      <c r="K416" s="79"/>
      <c r="L416" s="38" t="s">
        <v>1917</v>
      </c>
      <c r="M416" s="46">
        <v>200.0</v>
      </c>
      <c r="N416" s="46" t="s">
        <v>2207</v>
      </c>
      <c r="O416" s="42" t="s">
        <v>34</v>
      </c>
      <c r="P416" s="46">
        <v>10.0</v>
      </c>
      <c r="Q416" s="48">
        <f t="shared" si="44"/>
        <v>27</v>
      </c>
      <c r="R416" s="47">
        <f t="array" ref="R416">INDIRECT("'renta'!G$"&amp;MATCH(O416,renta!$A:$A,0))*P416</f>
        <v>1326.82153</v>
      </c>
      <c r="S416" s="48">
        <f t="shared" si="43"/>
        <v>3582.422231</v>
      </c>
      <c r="T416" s="49" t="str">
        <f t="shared" si="25"/>
        <v>FUEL</v>
      </c>
      <c r="U416" s="50">
        <f t="shared" si="5"/>
        <v>0.7370110367</v>
      </c>
      <c r="V416" s="80">
        <v>150.0</v>
      </c>
      <c r="W416" s="52">
        <f t="shared" si="6"/>
        <v>0.2167719765</v>
      </c>
      <c r="X416" s="52">
        <f t="shared" si="45"/>
        <v>5.527495472</v>
      </c>
      <c r="Y416" s="80">
        <v>0.0</v>
      </c>
      <c r="Z416" s="39">
        <v>-0.20833333333333334</v>
      </c>
      <c r="AA416" s="81" t="s">
        <v>416</v>
      </c>
      <c r="AB416" s="82" t="s">
        <v>147</v>
      </c>
      <c r="AC416" s="54" t="s">
        <v>1899</v>
      </c>
      <c r="AD416" s="50"/>
      <c r="AE416" s="83"/>
      <c r="AF416" s="40" t="s">
        <v>806</v>
      </c>
      <c r="AG416" s="40" t="s">
        <v>2219</v>
      </c>
      <c r="AH416" s="87">
        <v>8.0</v>
      </c>
      <c r="AI416" s="38">
        <v>0.25</v>
      </c>
    </row>
    <row r="417">
      <c r="A417" s="58" t="s">
        <v>2220</v>
      </c>
      <c r="B417" s="59">
        <v>1.0</v>
      </c>
      <c r="C417" s="60">
        <v>1.25</v>
      </c>
      <c r="D417" s="61">
        <f t="array" ref="D417">IFERROR(INDIRECT("'renta'!G$"&amp;MATCH(T417,renta!$A:$A,0))*0.975-(G417*INDIRECT("'renta'!G$"&amp;MATCH(F417,renta!$A:$A,0)))/B417-IFERROR((J417*INDIRECT("'renta'!G$"&amp;MATCH(I417,renta!$A:$A,0)))/B417,0),)</f>
        <v>43.51679647</v>
      </c>
      <c r="E417" s="41">
        <f t="shared" si="1"/>
        <v>3.626399706</v>
      </c>
      <c r="F417" s="61" t="s">
        <v>48</v>
      </c>
      <c r="G417" s="62">
        <f t="shared" si="36"/>
        <v>2.736</v>
      </c>
      <c r="H417" s="63" t="s">
        <v>2147</v>
      </c>
      <c r="I417" s="64"/>
      <c r="J417" s="61">
        <f t="shared" si="23"/>
        <v>0</v>
      </c>
      <c r="K417" s="64"/>
      <c r="L417" s="59" t="s">
        <v>1922</v>
      </c>
      <c r="M417" s="65">
        <v>200.0</v>
      </c>
      <c r="N417" s="65" t="s">
        <v>2207</v>
      </c>
      <c r="O417" s="66" t="s">
        <v>34</v>
      </c>
      <c r="P417" s="65">
        <v>12.0</v>
      </c>
      <c r="Q417" s="68">
        <f t="shared" si="44"/>
        <v>39</v>
      </c>
      <c r="R417" s="67">
        <f t="array" ref="R417">INDIRECT("'renta'!G$"&amp;MATCH(O417,renta!$A:$A,0))*P417</f>
        <v>1592.185836</v>
      </c>
      <c r="S417" s="68">
        <f t="shared" si="43"/>
        <v>5174.608067</v>
      </c>
      <c r="T417" s="69" t="str">
        <f t="shared" si="25"/>
        <v>FUEL</v>
      </c>
      <c r="U417" s="70">
        <f t="shared" si="5"/>
        <v>0.8189011518</v>
      </c>
      <c r="V417" s="71">
        <v>150.0</v>
      </c>
      <c r="W417" s="72">
        <f t="shared" si="6"/>
        <v>0.2901119765</v>
      </c>
      <c r="X417" s="72">
        <f t="shared" si="45"/>
        <v>4.606246227</v>
      </c>
      <c r="Y417" s="71">
        <v>0.0</v>
      </c>
      <c r="Z417" s="60">
        <v>-0.20833333333333334</v>
      </c>
      <c r="AA417" s="85" t="s">
        <v>992</v>
      </c>
      <c r="AB417" s="74" t="s">
        <v>2221</v>
      </c>
      <c r="AC417" s="75" t="s">
        <v>1899</v>
      </c>
      <c r="AD417" s="70"/>
      <c r="AE417" s="76"/>
      <c r="AF417" s="61" t="s">
        <v>806</v>
      </c>
      <c r="AG417" s="61" t="s">
        <v>2222</v>
      </c>
      <c r="AH417" s="86">
        <v>8.0</v>
      </c>
      <c r="AI417" s="59">
        <v>0.25</v>
      </c>
    </row>
    <row r="418">
      <c r="A418" s="78" t="s">
        <v>2223</v>
      </c>
      <c r="B418" s="38">
        <v>1.0</v>
      </c>
      <c r="C418" s="39">
        <v>1.0833333333333333</v>
      </c>
      <c r="D418" s="40">
        <f t="array" ref="D418">IFERROR(INDIRECT("'renta'!G$"&amp;MATCH(T418,renta!$A:$A,0))*0.975-(G418*INDIRECT("'renta'!G$"&amp;MATCH(F418,renta!$A:$A,0)))/B418-IFERROR((J418*INDIRECT("'renta'!G$"&amp;MATCH(I418,renta!$A:$A,0)))/B418,0),)</f>
        <v>50.85079647</v>
      </c>
      <c r="E418" s="41">
        <f t="shared" si="1"/>
        <v>4.889499661</v>
      </c>
      <c r="F418" s="40" t="s">
        <v>48</v>
      </c>
      <c r="G418" s="43">
        <f t="shared" si="36"/>
        <v>2.717</v>
      </c>
      <c r="H418" s="44" t="s">
        <v>2224</v>
      </c>
      <c r="I418" s="79"/>
      <c r="J418" s="40">
        <f t="shared" si="23"/>
        <v>0</v>
      </c>
      <c r="K418" s="79"/>
      <c r="L418" s="38" t="s">
        <v>1928</v>
      </c>
      <c r="M418" s="46">
        <v>200.0</v>
      </c>
      <c r="N418" s="46" t="s">
        <v>2207</v>
      </c>
      <c r="O418" s="42" t="s">
        <v>34</v>
      </c>
      <c r="P418" s="46">
        <v>14.0</v>
      </c>
      <c r="Q418" s="48">
        <f t="shared" si="44"/>
        <v>53</v>
      </c>
      <c r="R418" s="47">
        <f t="array" ref="R418">INDIRECT("'renta'!G$"&amp;MATCH(O418,renta!$A:$A,0))*P418</f>
        <v>1857.550142</v>
      </c>
      <c r="S418" s="48">
        <f t="shared" si="43"/>
        <v>7032.15821</v>
      </c>
      <c r="T418" s="49" t="str">
        <f t="shared" si="25"/>
        <v>FUEL</v>
      </c>
      <c r="U418" s="50">
        <f t="shared" si="5"/>
        <v>0.6799816199</v>
      </c>
      <c r="V418" s="80">
        <v>150.0</v>
      </c>
      <c r="W418" s="52">
        <f t="shared" si="6"/>
        <v>0.3390053098</v>
      </c>
      <c r="X418" s="52">
        <f t="shared" si="45"/>
        <v>2.632140701</v>
      </c>
      <c r="Y418" s="80">
        <v>0.0</v>
      </c>
      <c r="Z418" s="39">
        <v>-0.16666666666666666</v>
      </c>
      <c r="AA418" s="81" t="s">
        <v>2225</v>
      </c>
      <c r="AB418" s="82" t="s">
        <v>2226</v>
      </c>
      <c r="AC418" s="54" t="s">
        <v>2227</v>
      </c>
      <c r="AD418" s="50"/>
      <c r="AE418" s="83"/>
      <c r="AF418" s="40" t="s">
        <v>806</v>
      </c>
      <c r="AG418" s="40" t="s">
        <v>2228</v>
      </c>
      <c r="AH418" s="87">
        <v>8.0</v>
      </c>
      <c r="AI418" s="38">
        <v>0.25</v>
      </c>
    </row>
    <row r="419">
      <c r="A419" s="58" t="s">
        <v>2229</v>
      </c>
      <c r="B419" s="59">
        <v>1.0</v>
      </c>
      <c r="C419" s="60">
        <v>0.9583333333333334</v>
      </c>
      <c r="D419" s="61">
        <f t="array" ref="D419">IFERROR(INDIRECT("'renta'!G$"&amp;MATCH(T419,renta!$A:$A,0))*0.975-(G419*INDIRECT("'renta'!G$"&amp;MATCH(F419,renta!$A:$A,0)))/B419-IFERROR((J419*INDIRECT("'renta'!G$"&amp;MATCH(I419,renta!$A:$A,0)))/B419,0),)</f>
        <v>61.85179647</v>
      </c>
      <c r="E419" s="41">
        <f t="shared" si="1"/>
        <v>6.723021356</v>
      </c>
      <c r="F419" s="61" t="s">
        <v>48</v>
      </c>
      <c r="G419" s="62">
        <f t="shared" si="36"/>
        <v>2.6885</v>
      </c>
      <c r="H419" s="63" t="s">
        <v>2230</v>
      </c>
      <c r="I419" s="64"/>
      <c r="J419" s="61">
        <f t="shared" si="23"/>
        <v>0</v>
      </c>
      <c r="K419" s="64"/>
      <c r="L419" s="59" t="s">
        <v>1933</v>
      </c>
      <c r="M419" s="65">
        <v>200.0</v>
      </c>
      <c r="N419" s="65" t="s">
        <v>2207</v>
      </c>
      <c r="O419" s="66" t="s">
        <v>34</v>
      </c>
      <c r="P419" s="65">
        <v>17.0</v>
      </c>
      <c r="Q419" s="68">
        <f t="shared" si="44"/>
        <v>70</v>
      </c>
      <c r="R419" s="67">
        <f t="array" ref="R419">INDIRECT("'renta'!G$"&amp;MATCH(O419,renta!$A:$A,0))*P419</f>
        <v>2255.596601</v>
      </c>
      <c r="S419" s="68">
        <f t="shared" si="43"/>
        <v>9287.754811</v>
      </c>
      <c r="T419" s="69" t="str">
        <f t="shared" si="25"/>
        <v>FUEL</v>
      </c>
      <c r="U419" s="70">
        <f t="shared" si="5"/>
        <v>0.8128765995</v>
      </c>
      <c r="V419" s="71">
        <v>150.0</v>
      </c>
      <c r="W419" s="72">
        <f t="shared" si="6"/>
        <v>0.4123453098</v>
      </c>
      <c r="X419" s="72">
        <f t="shared" si="45"/>
        <v>3.251467925</v>
      </c>
      <c r="Y419" s="71">
        <v>0.0</v>
      </c>
      <c r="Z419" s="60">
        <v>-0.125</v>
      </c>
      <c r="AA419" s="85" t="s">
        <v>1378</v>
      </c>
      <c r="AB419" s="74" t="s">
        <v>2231</v>
      </c>
      <c r="AC419" s="75" t="s">
        <v>2232</v>
      </c>
      <c r="AD419" s="70"/>
      <c r="AE419" s="76"/>
      <c r="AF419" s="61" t="s">
        <v>806</v>
      </c>
      <c r="AG419" s="61" t="s">
        <v>2233</v>
      </c>
      <c r="AH419" s="86">
        <v>8.0</v>
      </c>
      <c r="AI419" s="59">
        <v>0.25</v>
      </c>
    </row>
    <row r="420">
      <c r="A420" s="78" t="s">
        <v>2234</v>
      </c>
      <c r="B420" s="38">
        <v>1.0</v>
      </c>
      <c r="C420" s="39">
        <v>0.8333333333333334</v>
      </c>
      <c r="D420" s="40">
        <f t="array" ref="D420">IFERROR(INDIRECT("'renta'!G$"&amp;MATCH(T420,renta!$A:$A,0))*0.975-(G420*INDIRECT("'renta'!G$"&amp;MATCH(F420,renta!$A:$A,0)))/B420-IFERROR((J420*INDIRECT("'renta'!G$"&amp;MATCH(I420,renta!$A:$A,0)))/B420,0),)</f>
        <v>72.85279647</v>
      </c>
      <c r="E420" s="41">
        <f t="shared" si="1"/>
        <v>9.106599559</v>
      </c>
      <c r="F420" s="40" t="s">
        <v>48</v>
      </c>
      <c r="G420" s="43">
        <f t="shared" si="36"/>
        <v>2.66</v>
      </c>
      <c r="H420" s="44" t="s">
        <v>2235</v>
      </c>
      <c r="I420" s="79"/>
      <c r="J420" s="40">
        <f t="shared" si="23"/>
        <v>0</v>
      </c>
      <c r="K420" s="79"/>
      <c r="L420" s="38" t="s">
        <v>1939</v>
      </c>
      <c r="M420" s="46">
        <v>200.0</v>
      </c>
      <c r="N420" s="46" t="s">
        <v>2207</v>
      </c>
      <c r="O420" s="42" t="s">
        <v>34</v>
      </c>
      <c r="P420" s="46">
        <v>22.0</v>
      </c>
      <c r="Q420" s="48">
        <f t="shared" si="44"/>
        <v>92</v>
      </c>
      <c r="R420" s="47">
        <f t="array" ref="R420">INDIRECT("'renta'!G$"&amp;MATCH(O420,renta!$A:$A,0))*P420</f>
        <v>2919.007366</v>
      </c>
      <c r="S420" s="48">
        <f t="shared" si="43"/>
        <v>12206.76218</v>
      </c>
      <c r="T420" s="49" t="str">
        <f t="shared" si="25"/>
        <v>FUEL</v>
      </c>
      <c r="U420" s="50">
        <f t="shared" si="5"/>
        <v>0.8165714931</v>
      </c>
      <c r="V420" s="80">
        <v>150.0</v>
      </c>
      <c r="W420" s="52">
        <f t="shared" si="6"/>
        <v>0.4856853098</v>
      </c>
      <c r="X420" s="52">
        <f t="shared" si="45"/>
        <v>2.512497942</v>
      </c>
      <c r="Y420" s="80">
        <v>0.0</v>
      </c>
      <c r="Z420" s="39">
        <v>-0.125</v>
      </c>
      <c r="AA420" s="53">
        <v>0.15</v>
      </c>
      <c r="AB420" s="82" t="s">
        <v>2236</v>
      </c>
      <c r="AC420" s="54" t="s">
        <v>147</v>
      </c>
      <c r="AD420" s="50"/>
      <c r="AE420" s="83"/>
      <c r="AF420" s="40" t="s">
        <v>806</v>
      </c>
      <c r="AG420" s="40" t="s">
        <v>2237</v>
      </c>
      <c r="AH420" s="87">
        <v>8.0</v>
      </c>
      <c r="AI420" s="38">
        <v>0.25</v>
      </c>
    </row>
    <row r="421">
      <c r="A421" s="58" t="s">
        <v>2238</v>
      </c>
      <c r="B421" s="59">
        <v>1.0</v>
      </c>
      <c r="C421" s="60">
        <v>0.75</v>
      </c>
      <c r="D421" s="61">
        <f t="array" ref="D421">IFERROR(INDIRECT("'renta'!G$"&amp;MATCH(T421,renta!$A:$A,0))*0.975-(G421*INDIRECT("'renta'!G$"&amp;MATCH(F421,renta!$A:$A,0)))/B421-IFERROR((J421*INDIRECT("'renta'!G$"&amp;MATCH(I421,renta!$A:$A,0)))/B421,0),)</f>
        <v>80.18679647</v>
      </c>
      <c r="E421" s="41">
        <f t="shared" si="1"/>
        <v>11.13705507</v>
      </c>
      <c r="F421" s="61" t="s">
        <v>48</v>
      </c>
      <c r="G421" s="62">
        <f t="shared" si="36"/>
        <v>2.641</v>
      </c>
      <c r="H421" s="63" t="s">
        <v>2239</v>
      </c>
      <c r="I421" s="64"/>
      <c r="J421" s="61">
        <f t="shared" si="23"/>
        <v>0</v>
      </c>
      <c r="K421" s="64"/>
      <c r="L421" s="59" t="s">
        <v>1945</v>
      </c>
      <c r="M421" s="65">
        <v>200.0</v>
      </c>
      <c r="N421" s="65" t="s">
        <v>2207</v>
      </c>
      <c r="O421" s="66" t="s">
        <v>34</v>
      </c>
      <c r="P421" s="65">
        <v>28.0</v>
      </c>
      <c r="Q421" s="68">
        <f t="shared" si="44"/>
        <v>120</v>
      </c>
      <c r="R421" s="67">
        <f t="array" ref="R421">INDIRECT("'renta'!G$"&amp;MATCH(O421,renta!$A:$A,0))*P421</f>
        <v>3715.100284</v>
      </c>
      <c r="S421" s="68">
        <f t="shared" si="43"/>
        <v>15921.86246</v>
      </c>
      <c r="T421" s="69" t="str">
        <f t="shared" si="25"/>
        <v>FUEL</v>
      </c>
      <c r="U421" s="70">
        <f t="shared" si="5"/>
        <v>0.5465412374</v>
      </c>
      <c r="V421" s="71">
        <v>150.0</v>
      </c>
      <c r="W421" s="72">
        <f t="shared" si="6"/>
        <v>0.5345786432</v>
      </c>
      <c r="X421" s="72">
        <f t="shared" si="45"/>
        <v>1.31607035</v>
      </c>
      <c r="Y421" s="71">
        <v>0.0</v>
      </c>
      <c r="Z421" s="60">
        <v>-0.08333333333333333</v>
      </c>
      <c r="AA421" s="85" t="s">
        <v>627</v>
      </c>
      <c r="AB421" s="74" t="s">
        <v>1946</v>
      </c>
      <c r="AC421" s="75" t="s">
        <v>147</v>
      </c>
      <c r="AD421" s="70"/>
      <c r="AE421" s="76"/>
      <c r="AF421" s="61" t="s">
        <v>806</v>
      </c>
      <c r="AG421" s="61" t="s">
        <v>2240</v>
      </c>
      <c r="AH421" s="86">
        <v>8.0</v>
      </c>
      <c r="AI421" s="59">
        <v>0.25</v>
      </c>
    </row>
    <row r="422">
      <c r="A422" s="78" t="s">
        <v>2241</v>
      </c>
      <c r="B422" s="38">
        <v>1.0</v>
      </c>
      <c r="C422" s="39">
        <v>0.6666666666666666</v>
      </c>
      <c r="D422" s="40">
        <f t="array" ref="D422">IFERROR(INDIRECT("'renta'!G$"&amp;MATCH(T422,renta!$A:$A,0))*0.975-(G422*INDIRECT("'renta'!G$"&amp;MATCH(F422,renta!$A:$A,0)))/B422-IFERROR((J422*INDIRECT("'renta'!G$"&amp;MATCH(I422,renta!$A:$A,0)))/B422,0),)</f>
        <v>91.18779647</v>
      </c>
      <c r="E422" s="41">
        <f t="shared" si="1"/>
        <v>14.2480932</v>
      </c>
      <c r="F422" s="40" t="s">
        <v>48</v>
      </c>
      <c r="G422" s="43">
        <f t="shared" si="36"/>
        <v>2.6125</v>
      </c>
      <c r="H422" s="44" t="s">
        <v>2242</v>
      </c>
      <c r="I422" s="79"/>
      <c r="J422" s="40">
        <f t="shared" si="23"/>
        <v>0</v>
      </c>
      <c r="K422" s="79"/>
      <c r="L422" s="38" t="s">
        <v>1951</v>
      </c>
      <c r="M422" s="46">
        <v>200.0</v>
      </c>
      <c r="N422" s="46" t="s">
        <v>2207</v>
      </c>
      <c r="O422" s="42" t="s">
        <v>34</v>
      </c>
      <c r="P422" s="46">
        <v>37.0</v>
      </c>
      <c r="Q422" s="48">
        <f t="shared" si="44"/>
        <v>157</v>
      </c>
      <c r="R422" s="47">
        <f t="array" ref="R422">INDIRECT("'renta'!G$"&amp;MATCH(O422,renta!$A:$A,0))*P422</f>
        <v>4909.239661</v>
      </c>
      <c r="S422" s="48">
        <f t="shared" si="43"/>
        <v>20831.10212</v>
      </c>
      <c r="T422" s="49" t="str">
        <f t="shared" si="25"/>
        <v>FUEL</v>
      </c>
      <c r="U422" s="50">
        <f t="shared" si="5"/>
        <v>0.6337107878</v>
      </c>
      <c r="V422" s="80">
        <v>150.0</v>
      </c>
      <c r="W422" s="52">
        <f t="shared" si="6"/>
        <v>0.6079186432</v>
      </c>
      <c r="X422" s="52">
        <f t="shared" si="45"/>
        <v>1.493917695</v>
      </c>
      <c r="Y422" s="80">
        <v>0.0</v>
      </c>
      <c r="Z422" s="39">
        <v>-0.08333333333333333</v>
      </c>
      <c r="AA422" s="81" t="s">
        <v>1276</v>
      </c>
      <c r="AB422" s="82" t="s">
        <v>2243</v>
      </c>
      <c r="AC422" s="54" t="s">
        <v>2244</v>
      </c>
      <c r="AD422" s="50"/>
      <c r="AE422" s="83"/>
      <c r="AF422" s="40" t="s">
        <v>806</v>
      </c>
      <c r="AG422" s="40" t="s">
        <v>2245</v>
      </c>
      <c r="AH422" s="87">
        <v>8.0</v>
      </c>
      <c r="AI422" s="38">
        <v>0.25</v>
      </c>
    </row>
    <row r="423">
      <c r="A423" s="58" t="s">
        <v>2246</v>
      </c>
      <c r="B423" s="59">
        <v>1.0</v>
      </c>
      <c r="C423" s="60">
        <v>0.5833333333333334</v>
      </c>
      <c r="D423" s="61">
        <f t="array" ref="D423">IFERROR(INDIRECT("'renta'!G$"&amp;MATCH(T423,renta!$A:$A,0))*0.975-(G423*INDIRECT("'renta'!G$"&amp;MATCH(F423,renta!$A:$A,0)))/B423-IFERROR((J423*INDIRECT("'renta'!G$"&amp;MATCH(I423,renta!$A:$A,0)))/B423,0),)</f>
        <v>98.52179647</v>
      </c>
      <c r="E423" s="41">
        <f t="shared" si="1"/>
        <v>17.59317794</v>
      </c>
      <c r="F423" s="61" t="s">
        <v>48</v>
      </c>
      <c r="G423" s="62">
        <f t="shared" si="36"/>
        <v>2.5935</v>
      </c>
      <c r="H423" s="63" t="s">
        <v>2247</v>
      </c>
      <c r="I423" s="64"/>
      <c r="J423" s="61">
        <f t="shared" si="23"/>
        <v>0</v>
      </c>
      <c r="K423" s="64"/>
      <c r="L423" s="59" t="s">
        <v>1957</v>
      </c>
      <c r="M423" s="65">
        <v>200.0</v>
      </c>
      <c r="N423" s="65" t="s">
        <v>2207</v>
      </c>
      <c r="O423" s="66" t="s">
        <v>34</v>
      </c>
      <c r="P423" s="65">
        <v>49.0</v>
      </c>
      <c r="Q423" s="68">
        <f t="shared" si="44"/>
        <v>206</v>
      </c>
      <c r="R423" s="67">
        <f t="array" ref="R423">INDIRECT("'renta'!G$"&amp;MATCH(O423,renta!$A:$A,0))*P423</f>
        <v>6501.425498</v>
      </c>
      <c r="S423" s="68">
        <f t="shared" si="43"/>
        <v>27332.52762</v>
      </c>
      <c r="T423" s="69" t="str">
        <f t="shared" si="25"/>
        <v>FUEL</v>
      </c>
      <c r="U423" s="70">
        <f t="shared" si="5"/>
        <v>0.5145155849</v>
      </c>
      <c r="V423" s="71">
        <v>150.0</v>
      </c>
      <c r="W423" s="72">
        <f t="shared" si="6"/>
        <v>0.6568119765</v>
      </c>
      <c r="X423" s="72">
        <f t="shared" si="45"/>
        <v>0.7520402003</v>
      </c>
      <c r="Y423" s="71">
        <v>0.0</v>
      </c>
      <c r="Z423" s="60">
        <v>-0.08333333333333333</v>
      </c>
      <c r="AA423" s="85" t="s">
        <v>416</v>
      </c>
      <c r="AB423" s="74" t="s">
        <v>2248</v>
      </c>
      <c r="AC423" s="75" t="s">
        <v>2055</v>
      </c>
      <c r="AD423" s="70"/>
      <c r="AE423" s="76"/>
      <c r="AF423" s="61" t="s">
        <v>806</v>
      </c>
      <c r="AG423" s="61" t="s">
        <v>2249</v>
      </c>
      <c r="AH423" s="86">
        <v>8.0</v>
      </c>
      <c r="AI423" s="59">
        <v>0.25</v>
      </c>
    </row>
    <row r="424">
      <c r="A424" s="78" t="s">
        <v>2250</v>
      </c>
      <c r="B424" s="38">
        <v>1.0</v>
      </c>
      <c r="C424" s="39">
        <v>0.5</v>
      </c>
      <c r="D424" s="40">
        <f t="array" ref="D424">IFERROR(INDIRECT("'renta'!G$"&amp;MATCH(T424,renta!$A:$A,0))*0.975-(G424*INDIRECT("'renta'!G$"&amp;MATCH(F424,renta!$A:$A,0)))/B424-IFERROR((J424*INDIRECT("'renta'!G$"&amp;MATCH(I424,renta!$A:$A,0)))/B424,0),)</f>
        <v>109.5227965</v>
      </c>
      <c r="E424" s="41">
        <f t="shared" si="1"/>
        <v>22.81724927</v>
      </c>
      <c r="F424" s="40" t="s">
        <v>48</v>
      </c>
      <c r="G424" s="43">
        <f t="shared" si="36"/>
        <v>2.565</v>
      </c>
      <c r="H424" s="44" t="s">
        <v>2251</v>
      </c>
      <c r="I424" s="79"/>
      <c r="J424" s="40">
        <f t="shared" si="23"/>
        <v>0</v>
      </c>
      <c r="K424" s="79"/>
      <c r="L424" s="38" t="s">
        <v>1963</v>
      </c>
      <c r="M424" s="46">
        <v>200.0</v>
      </c>
      <c r="N424" s="46" t="s">
        <v>2207</v>
      </c>
      <c r="O424" s="42" t="s">
        <v>34</v>
      </c>
      <c r="P424" s="46">
        <v>66.0</v>
      </c>
      <c r="Q424" s="48">
        <f t="shared" si="44"/>
        <v>272</v>
      </c>
      <c r="R424" s="47">
        <f t="array" ref="R424">INDIRECT("'renta'!G$"&amp;MATCH(O424,renta!$A:$A,0))*P424</f>
        <v>8757.022099</v>
      </c>
      <c r="S424" s="48">
        <f t="shared" si="43"/>
        <v>36089.54972</v>
      </c>
      <c r="T424" s="49" t="str">
        <f t="shared" si="25"/>
        <v>FUEL</v>
      </c>
      <c r="U424" s="50">
        <f t="shared" si="5"/>
        <v>0.5965579697</v>
      </c>
      <c r="V424" s="80">
        <v>150.0</v>
      </c>
      <c r="W424" s="52">
        <f t="shared" si="6"/>
        <v>0.7301519765</v>
      </c>
      <c r="X424" s="52">
        <f t="shared" si="45"/>
        <v>0.837499314</v>
      </c>
      <c r="Y424" s="80">
        <v>0.0</v>
      </c>
      <c r="Z424" s="39">
        <v>-0.08333333333333333</v>
      </c>
      <c r="AA424" s="81" t="s">
        <v>992</v>
      </c>
      <c r="AB424" s="82" t="s">
        <v>2252</v>
      </c>
      <c r="AC424" s="54" t="s">
        <v>2253</v>
      </c>
      <c r="AD424" s="50"/>
      <c r="AE424" s="83"/>
      <c r="AF424" s="40" t="s">
        <v>806</v>
      </c>
      <c r="AG424" s="40" t="s">
        <v>2254</v>
      </c>
      <c r="AH424" s="87">
        <v>8.0</v>
      </c>
      <c r="AI424" s="38">
        <v>0.25</v>
      </c>
    </row>
    <row r="425">
      <c r="A425" s="58" t="s">
        <v>2255</v>
      </c>
      <c r="B425" s="59">
        <v>1.0</v>
      </c>
      <c r="C425" s="60">
        <v>0.4375</v>
      </c>
      <c r="D425" s="61">
        <f t="array" ref="D425">IFERROR(INDIRECT("'renta'!G$"&amp;MATCH(T425,renta!$A:$A,0))*0.975-(G425*INDIRECT("'renta'!G$"&amp;MATCH(F425,renta!$A:$A,0)))/B425-IFERROR((J425*INDIRECT("'renta'!G$"&amp;MATCH(I425,renta!$A:$A,0)))/B425,0),)</f>
        <v>116.8567965</v>
      </c>
      <c r="E425" s="41">
        <f t="shared" si="1"/>
        <v>27.82304678</v>
      </c>
      <c r="F425" s="61" t="s">
        <v>48</v>
      </c>
      <c r="G425" s="62">
        <f t="shared" si="36"/>
        <v>2.546</v>
      </c>
      <c r="H425" s="63" t="s">
        <v>2256</v>
      </c>
      <c r="I425" s="64"/>
      <c r="J425" s="61">
        <f t="shared" si="23"/>
        <v>0</v>
      </c>
      <c r="K425" s="64"/>
      <c r="L425" s="59" t="s">
        <v>1969</v>
      </c>
      <c r="M425" s="65">
        <v>200.0</v>
      </c>
      <c r="N425" s="65" t="s">
        <v>2207</v>
      </c>
      <c r="O425" s="66" t="s">
        <v>34</v>
      </c>
      <c r="P425" s="65">
        <v>90.0</v>
      </c>
      <c r="Q425" s="68">
        <f t="shared" si="44"/>
        <v>362</v>
      </c>
      <c r="R425" s="67">
        <f t="array" ref="R425">INDIRECT("'renta'!G$"&amp;MATCH(O425,renta!$A:$A,0))*P425</f>
        <v>11941.39377</v>
      </c>
      <c r="S425" s="68">
        <f t="shared" si="43"/>
        <v>48030.94349</v>
      </c>
      <c r="T425" s="69" t="str">
        <f t="shared" si="25"/>
        <v>FUEL</v>
      </c>
      <c r="U425" s="70">
        <f t="shared" si="5"/>
        <v>0.4191970896</v>
      </c>
      <c r="V425" s="71">
        <v>150.0</v>
      </c>
      <c r="W425" s="72">
        <f t="shared" si="6"/>
        <v>0.7790453098</v>
      </c>
      <c r="X425" s="72">
        <f t="shared" si="45"/>
        <v>0.409444109</v>
      </c>
      <c r="Y425" s="71">
        <v>0.0</v>
      </c>
      <c r="Z425" s="60">
        <v>-0.0625</v>
      </c>
      <c r="AA425" s="85" t="s">
        <v>416</v>
      </c>
      <c r="AB425" s="118">
        <v>46362.0</v>
      </c>
      <c r="AC425" s="75" t="s">
        <v>1706</v>
      </c>
      <c r="AD425" s="70"/>
      <c r="AE425" s="76"/>
      <c r="AF425" s="61" t="s">
        <v>806</v>
      </c>
      <c r="AG425" s="61" t="s">
        <v>2257</v>
      </c>
      <c r="AH425" s="86">
        <v>8.0</v>
      </c>
      <c r="AI425" s="59">
        <v>0.25</v>
      </c>
    </row>
    <row r="426">
      <c r="A426" s="78" t="s">
        <v>2258</v>
      </c>
      <c r="B426" s="38">
        <v>1.0</v>
      </c>
      <c r="C426" s="39">
        <v>0.375</v>
      </c>
      <c r="D426" s="40">
        <f t="array" ref="D426">IFERROR(INDIRECT("'renta'!G$"&amp;MATCH(T426,renta!$A:$A,0))*0.975-(G426*INDIRECT("'renta'!G$"&amp;MATCH(F426,renta!$A:$A,0)))/B426-IFERROR((J426*INDIRECT("'renta'!G$"&amp;MATCH(I426,renta!$A:$A,0)))/B426,0),)</f>
        <v>127.8577965</v>
      </c>
      <c r="E426" s="41">
        <f t="shared" si="1"/>
        <v>35.51605458</v>
      </c>
      <c r="F426" s="40" t="s">
        <v>48</v>
      </c>
      <c r="G426" s="43">
        <f t="shared" si="36"/>
        <v>2.5175</v>
      </c>
      <c r="H426" s="44" t="s">
        <v>2259</v>
      </c>
      <c r="I426" s="79"/>
      <c r="J426" s="40">
        <f t="shared" si="23"/>
        <v>0</v>
      </c>
      <c r="K426" s="79"/>
      <c r="L426" s="38" t="s">
        <v>1973</v>
      </c>
      <c r="M426" s="46">
        <v>200.0</v>
      </c>
      <c r="N426" s="46" t="s">
        <v>2207</v>
      </c>
      <c r="O426" s="42" t="s">
        <v>34</v>
      </c>
      <c r="P426" s="46">
        <v>123.0</v>
      </c>
      <c r="Q426" s="48">
        <f t="shared" si="44"/>
        <v>485</v>
      </c>
      <c r="R426" s="47">
        <f t="array" ref="R426">INDIRECT("'renta'!G$"&amp;MATCH(O426,renta!$A:$A,0))*P426</f>
        <v>16319.90482</v>
      </c>
      <c r="S426" s="48">
        <f t="shared" si="43"/>
        <v>64350.84831</v>
      </c>
      <c r="T426" s="49" t="str">
        <f t="shared" si="25"/>
        <v>FUEL</v>
      </c>
      <c r="U426" s="50">
        <f t="shared" si="5"/>
        <v>0.4713880308</v>
      </c>
      <c r="V426" s="80">
        <v>150.0</v>
      </c>
      <c r="W426" s="52">
        <f t="shared" si="6"/>
        <v>0.8523853098</v>
      </c>
      <c r="X426" s="52">
        <f t="shared" si="45"/>
        <v>0.4493898758</v>
      </c>
      <c r="Y426" s="80">
        <v>0.0</v>
      </c>
      <c r="Z426" s="39">
        <v>-0.0625</v>
      </c>
      <c r="AA426" s="81" t="s">
        <v>992</v>
      </c>
      <c r="AB426" s="111">
        <v>46241.0</v>
      </c>
      <c r="AC426" s="54" t="s">
        <v>1959</v>
      </c>
      <c r="AD426" s="50"/>
      <c r="AE426" s="83"/>
      <c r="AF426" s="40" t="s">
        <v>806</v>
      </c>
      <c r="AG426" s="40" t="s">
        <v>2260</v>
      </c>
      <c r="AH426" s="87">
        <v>8.0</v>
      </c>
      <c r="AI426" s="38">
        <v>0.25</v>
      </c>
    </row>
    <row r="427">
      <c r="A427" s="58" t="s">
        <v>53</v>
      </c>
      <c r="B427" s="59">
        <v>1.0</v>
      </c>
      <c r="C427" s="60">
        <v>0.3333333333333333</v>
      </c>
      <c r="D427" s="61">
        <f t="array" ref="D427">IFERROR(INDIRECT("'renta'!G$"&amp;MATCH(T427,renta!$A:$A,0))*0.975-(G427*INDIRECT("'renta'!G$"&amp;MATCH(F427,renta!$A:$A,0)))/B427-IFERROR((J427*INDIRECT("'renta'!G$"&amp;MATCH(I427,renta!$A:$A,0)))/B427,0),)</f>
        <v>142.5257965</v>
      </c>
      <c r="E427" s="41">
        <f t="shared" si="1"/>
        <v>44.5393114</v>
      </c>
      <c r="F427" s="61" t="s">
        <v>48</v>
      </c>
      <c r="G427" s="62">
        <f t="shared" si="36"/>
        <v>2.4795</v>
      </c>
      <c r="H427" s="63" t="s">
        <v>2184</v>
      </c>
      <c r="I427" s="64"/>
      <c r="J427" s="61">
        <f t="shared" si="23"/>
        <v>0</v>
      </c>
      <c r="K427" s="64"/>
      <c r="L427" s="59" t="s">
        <v>1366</v>
      </c>
      <c r="M427" s="65">
        <v>200.0</v>
      </c>
      <c r="N427" s="65" t="s">
        <v>2207</v>
      </c>
      <c r="O427" s="66" t="s">
        <v>34</v>
      </c>
      <c r="P427" s="65">
        <v>170.0</v>
      </c>
      <c r="Q427" s="68">
        <f t="shared" si="44"/>
        <v>655</v>
      </c>
      <c r="R427" s="67">
        <f t="array" ref="R427">INDIRECT("'renta'!G$"&amp;MATCH(O427,renta!$A:$A,0))*P427</f>
        <v>22555.96601</v>
      </c>
      <c r="S427" s="68">
        <f t="shared" si="43"/>
        <v>86906.81432</v>
      </c>
      <c r="T427" s="69" t="str">
        <f t="shared" si="25"/>
        <v>FUEL</v>
      </c>
      <c r="U427" s="70">
        <f t="shared" si="5"/>
        <v>0.4000385892</v>
      </c>
      <c r="V427" s="71">
        <v>150.0</v>
      </c>
      <c r="W427" s="72">
        <f t="shared" si="6"/>
        <v>0.9501719765</v>
      </c>
      <c r="X427" s="72"/>
      <c r="Y427" s="71">
        <v>0.0</v>
      </c>
      <c r="Z427" s="60">
        <v>-0.041666666666666664</v>
      </c>
      <c r="AA427" s="85" t="s">
        <v>1276</v>
      </c>
      <c r="AB427" s="74" t="s">
        <v>2261</v>
      </c>
      <c r="AC427" s="75" t="s">
        <v>2262</v>
      </c>
      <c r="AD427" s="70"/>
      <c r="AE427" s="76"/>
      <c r="AF427" s="61" t="s">
        <v>806</v>
      </c>
      <c r="AG427" s="61" t="s">
        <v>2263</v>
      </c>
      <c r="AH427" s="86">
        <v>8.0</v>
      </c>
      <c r="AI427" s="59">
        <v>0.25</v>
      </c>
    </row>
    <row r="428">
      <c r="A428" s="88"/>
      <c r="B428" s="89"/>
      <c r="C428" s="90"/>
      <c r="D428" s="40" t="str">
        <f t="array" ref="D428">IFERROR(INDIRECT("'renta'!G$"&amp;MATCH(T428,renta!$A:$A,0))*0.975-(G428*INDIRECT("'renta'!G$"&amp;MATCH(F428,renta!$A:$A,0)))/B428-IFERROR((J428*INDIRECT("'renta'!G$"&amp;MATCH(I428,renta!$A:$A,0)))/B428,0),)</f>
        <v/>
      </c>
      <c r="E428" s="41">
        <f t="shared" si="1"/>
        <v>0</v>
      </c>
      <c r="F428" s="79"/>
      <c r="G428" s="43">
        <f t="shared" si="36"/>
        <v>0</v>
      </c>
      <c r="H428" s="91"/>
      <c r="I428" s="79"/>
      <c r="J428" s="40">
        <f t="shared" si="23"/>
        <v>0</v>
      </c>
      <c r="K428" s="79"/>
      <c r="L428" s="92"/>
      <c r="M428" s="93"/>
      <c r="N428" s="93"/>
      <c r="O428" s="45"/>
      <c r="P428" s="93"/>
      <c r="Q428" s="93"/>
      <c r="R428" s="47"/>
      <c r="S428" s="48"/>
      <c r="T428" s="49" t="str">
        <f t="shared" si="25"/>
        <v/>
      </c>
      <c r="U428" s="50" t="str">
        <f t="shared" si="5"/>
        <v>#DIV/0!</v>
      </c>
      <c r="V428" s="94"/>
      <c r="W428" s="52" t="str">
        <f t="shared" si="6"/>
        <v/>
      </c>
      <c r="X428" s="52"/>
      <c r="Y428" s="94"/>
      <c r="Z428" s="90"/>
      <c r="AA428" s="95"/>
      <c r="AB428" s="50"/>
      <c r="AC428" s="83"/>
      <c r="AD428" s="50"/>
      <c r="AE428" s="83"/>
      <c r="AF428" s="79"/>
      <c r="AG428" s="79"/>
      <c r="AH428" s="84"/>
      <c r="AI428" s="90"/>
    </row>
    <row r="429">
      <c r="A429" s="58" t="s">
        <v>2264</v>
      </c>
      <c r="B429" s="59">
        <v>1.0</v>
      </c>
      <c r="C429" s="60">
        <v>2.6666666666666665</v>
      </c>
      <c r="D429" s="61">
        <f t="array" ref="D429">IFERROR(INDIRECT("'renta'!G$"&amp;MATCH(T429,renta!$A:$A,0))*0.975-(G429*INDIRECT("'renta'!G$"&amp;MATCH(F429,renta!$A:$A,0)))/B429-IFERROR((J429*INDIRECT("'renta'!G$"&amp;MATCH(I429,renta!$A:$A,0)))/B429,0),)</f>
        <v>65.40039293</v>
      </c>
      <c r="E429" s="41">
        <f t="shared" si="1"/>
        <v>2.043762279</v>
      </c>
      <c r="F429" s="61" t="s">
        <v>75</v>
      </c>
      <c r="G429" s="62">
        <f t="shared" si="36"/>
        <v>9.5</v>
      </c>
      <c r="H429" s="63" t="s">
        <v>398</v>
      </c>
      <c r="I429" s="61" t="s">
        <v>78</v>
      </c>
      <c r="J429" s="61">
        <f t="shared" si="23"/>
        <v>2.85</v>
      </c>
      <c r="K429" s="61">
        <v>3.0</v>
      </c>
      <c r="L429" s="59" t="s">
        <v>137</v>
      </c>
      <c r="M429" s="65">
        <v>235.0</v>
      </c>
      <c r="N429" s="65" t="s">
        <v>2265</v>
      </c>
      <c r="O429" s="66" t="s">
        <v>12</v>
      </c>
      <c r="P429" s="65">
        <v>1.0</v>
      </c>
      <c r="Q429" s="65"/>
      <c r="R429" s="67">
        <f t="array" ref="R429">INDIRECT("'renta'!G$"&amp;MATCH(O429,renta!$A:$A,0))*P429</f>
        <v>0.0041</v>
      </c>
      <c r="S429" s="68">
        <f t="shared" ref="S429:S443" si="46">SUM(R$429:R429)</f>
        <v>0.0041</v>
      </c>
      <c r="T429" s="69" t="str">
        <f t="shared" si="25"/>
        <v>CEMENT</v>
      </c>
      <c r="U429" s="70">
        <f t="shared" si="5"/>
        <v>498478.6047</v>
      </c>
      <c r="V429" s="71">
        <v>177.0</v>
      </c>
      <c r="W429" s="72">
        <f t="shared" si="6"/>
        <v>0.3694937454</v>
      </c>
      <c r="X429" s="72"/>
      <c r="Y429" s="71">
        <v>0.0</v>
      </c>
      <c r="Z429" s="60">
        <v>0.0</v>
      </c>
      <c r="AA429" s="73">
        <v>0.0</v>
      </c>
      <c r="AB429" s="74" t="s">
        <v>2096</v>
      </c>
      <c r="AC429" s="75" t="s">
        <v>2244</v>
      </c>
      <c r="AD429" s="118">
        <v>46357.0</v>
      </c>
      <c r="AE429" s="75" t="s">
        <v>2266</v>
      </c>
      <c r="AF429" s="61" t="s">
        <v>806</v>
      </c>
      <c r="AG429" s="61" t="s">
        <v>2267</v>
      </c>
      <c r="AH429" s="86">
        <v>9.0</v>
      </c>
      <c r="AI429" s="60"/>
    </row>
    <row r="430">
      <c r="A430" s="78" t="s">
        <v>2268</v>
      </c>
      <c r="B430" s="38">
        <v>1.0</v>
      </c>
      <c r="C430" s="39">
        <v>2.1666666666666665</v>
      </c>
      <c r="D430" s="40">
        <f t="array" ref="D430">IFERROR(INDIRECT("'renta'!G$"&amp;MATCH(T430,renta!$A:$A,0))*0.975-(G430*INDIRECT("'renta'!G$"&amp;MATCH(F430,renta!$A:$A,0)))/B430-IFERROR((J430*INDIRECT("'renta'!G$"&amp;MATCH(I430,renta!$A:$A,0)))/B430,0),)</f>
        <v>81.76762523</v>
      </c>
      <c r="E430" s="41">
        <f t="shared" si="1"/>
        <v>3.144908663</v>
      </c>
      <c r="F430" s="40" t="s">
        <v>75</v>
      </c>
      <c r="G430" s="43">
        <f t="shared" si="36"/>
        <v>9.405</v>
      </c>
      <c r="H430" s="44" t="s">
        <v>1124</v>
      </c>
      <c r="I430" s="40" t="s">
        <v>78</v>
      </c>
      <c r="J430" s="40">
        <f t="shared" si="23"/>
        <v>2.8215</v>
      </c>
      <c r="K430" s="40">
        <v>2.97</v>
      </c>
      <c r="L430" s="38" t="s">
        <v>1903</v>
      </c>
      <c r="M430" s="46">
        <v>235.0</v>
      </c>
      <c r="N430" s="46" t="s">
        <v>2265</v>
      </c>
      <c r="O430" s="42" t="s">
        <v>34</v>
      </c>
      <c r="P430" s="46">
        <v>8.0</v>
      </c>
      <c r="Q430" s="46"/>
      <c r="R430" s="47">
        <f t="array" ref="R430">INDIRECT("'renta'!G$"&amp;MATCH(O430,renta!$A:$A,0))*P430</f>
        <v>1061.457224</v>
      </c>
      <c r="S430" s="48">
        <f t="shared" si="46"/>
        <v>1061.461324</v>
      </c>
      <c r="T430" s="49" t="str">
        <f t="shared" si="25"/>
        <v>CEMENT</v>
      </c>
      <c r="U430" s="50">
        <f t="shared" si="5"/>
        <v>1.0373912</v>
      </c>
      <c r="V430" s="80">
        <v>177.0</v>
      </c>
      <c r="W430" s="52">
        <f t="shared" si="6"/>
        <v>0.4619639844</v>
      </c>
      <c r="X430" s="52"/>
      <c r="Y430" s="80">
        <v>0.0</v>
      </c>
      <c r="Z430" s="39">
        <v>-0.5</v>
      </c>
      <c r="AA430" s="81" t="s">
        <v>1374</v>
      </c>
      <c r="AB430" s="82" t="s">
        <v>2269</v>
      </c>
      <c r="AC430" s="54" t="s">
        <v>2270</v>
      </c>
      <c r="AD430" s="82" t="s">
        <v>2271</v>
      </c>
      <c r="AE430" s="54" t="s">
        <v>2272</v>
      </c>
      <c r="AF430" s="40" t="s">
        <v>806</v>
      </c>
      <c r="AG430" s="40" t="s">
        <v>2273</v>
      </c>
      <c r="AH430" s="87">
        <v>9.0</v>
      </c>
      <c r="AI430" s="39"/>
    </row>
    <row r="431">
      <c r="A431" s="58" t="s">
        <v>2274</v>
      </c>
      <c r="B431" s="59">
        <v>1.0</v>
      </c>
      <c r="C431" s="60">
        <v>1.875</v>
      </c>
      <c r="D431" s="61">
        <f t="array" ref="D431">IFERROR(INDIRECT("'renta'!G$"&amp;MATCH(T431,renta!$A:$A,0))*0.975-(G431*INDIRECT("'renta'!G$"&amp;MATCH(F431,renta!$A:$A,0)))/B431-IFERROR((J431*INDIRECT("'renta'!G$"&amp;MATCH(I431,renta!$A:$A,0)))/B431,0),)</f>
        <v>98.13485753</v>
      </c>
      <c r="E431" s="41">
        <f t="shared" si="1"/>
        <v>4.361549224</v>
      </c>
      <c r="F431" s="61" t="s">
        <v>75</v>
      </c>
      <c r="G431" s="62">
        <f t="shared" si="36"/>
        <v>9.31</v>
      </c>
      <c r="H431" s="63" t="s">
        <v>1987</v>
      </c>
      <c r="I431" s="61" t="s">
        <v>78</v>
      </c>
      <c r="J431" s="61">
        <f t="shared" si="23"/>
        <v>2.793</v>
      </c>
      <c r="K431" s="61">
        <v>2.94</v>
      </c>
      <c r="L431" s="59" t="s">
        <v>1910</v>
      </c>
      <c r="M431" s="65">
        <v>235.0</v>
      </c>
      <c r="N431" s="65" t="s">
        <v>2265</v>
      </c>
      <c r="O431" s="66" t="s">
        <v>34</v>
      </c>
      <c r="P431" s="65">
        <v>9.0</v>
      </c>
      <c r="Q431" s="65"/>
      <c r="R431" s="67">
        <f t="array" ref="R431">INDIRECT("'renta'!G$"&amp;MATCH(O431,renta!$A:$A,0))*P431</f>
        <v>1194.139377</v>
      </c>
      <c r="S431" s="68">
        <f t="shared" si="46"/>
        <v>2255.600701</v>
      </c>
      <c r="T431" s="69" t="str">
        <f t="shared" si="25"/>
        <v>CEMENT</v>
      </c>
      <c r="U431" s="70">
        <f t="shared" si="5"/>
        <v>1.018843013</v>
      </c>
      <c r="V431" s="71">
        <v>177.0</v>
      </c>
      <c r="W431" s="72">
        <f t="shared" si="6"/>
        <v>0.5544342234</v>
      </c>
      <c r="X431" s="72"/>
      <c r="Y431" s="71">
        <v>0.0</v>
      </c>
      <c r="Z431" s="60">
        <v>-0.2916666666666667</v>
      </c>
      <c r="AA431" s="85" t="s">
        <v>2275</v>
      </c>
      <c r="AB431" s="74" t="s">
        <v>2276</v>
      </c>
      <c r="AC431" s="75" t="s">
        <v>2270</v>
      </c>
      <c r="AD431" s="74" t="s">
        <v>2277</v>
      </c>
      <c r="AE431" s="75" t="s">
        <v>2272</v>
      </c>
      <c r="AF431" s="61" t="s">
        <v>806</v>
      </c>
      <c r="AG431" s="61" t="s">
        <v>2160</v>
      </c>
      <c r="AH431" s="86">
        <v>9.0</v>
      </c>
      <c r="AI431" s="60"/>
    </row>
    <row r="432">
      <c r="A432" s="78" t="s">
        <v>2278</v>
      </c>
      <c r="B432" s="38">
        <v>1.0</v>
      </c>
      <c r="C432" s="39">
        <v>1.625</v>
      </c>
      <c r="D432" s="40">
        <f t="array" ref="D432">IFERROR(INDIRECT("'renta'!G$"&amp;MATCH(T432,renta!$A:$A,0))*0.975-(G432*INDIRECT("'renta'!G$"&amp;MATCH(F432,renta!$A:$A,0)))/B432-IFERROR((J432*INDIRECT("'renta'!G$"&amp;MATCH(I432,renta!$A:$A,0)))/B432,0),)</f>
        <v>113.7420898</v>
      </c>
      <c r="E432" s="41">
        <f t="shared" si="1"/>
        <v>5.832927684</v>
      </c>
      <c r="F432" s="40" t="s">
        <v>75</v>
      </c>
      <c r="G432" s="43">
        <f t="shared" si="36"/>
        <v>9.2245</v>
      </c>
      <c r="H432" s="44" t="s">
        <v>1992</v>
      </c>
      <c r="I432" s="40" t="s">
        <v>78</v>
      </c>
      <c r="J432" s="40">
        <f t="shared" si="23"/>
        <v>2.7645</v>
      </c>
      <c r="K432" s="40">
        <v>2.91</v>
      </c>
      <c r="L432" s="38" t="s">
        <v>1917</v>
      </c>
      <c r="M432" s="46">
        <v>235.0</v>
      </c>
      <c r="N432" s="46" t="s">
        <v>2265</v>
      </c>
      <c r="O432" s="42" t="s">
        <v>34</v>
      </c>
      <c r="P432" s="46">
        <v>10.0</v>
      </c>
      <c r="Q432" s="46"/>
      <c r="R432" s="47">
        <f t="array" ref="R432">INDIRECT("'renta'!G$"&amp;MATCH(O432,renta!$A:$A,0))*P432</f>
        <v>1326.82153</v>
      </c>
      <c r="S432" s="48">
        <f t="shared" si="46"/>
        <v>3582.422231</v>
      </c>
      <c r="T432" s="49" t="str">
        <f t="shared" si="25"/>
        <v>CEMENT</v>
      </c>
      <c r="U432" s="50">
        <f t="shared" si="5"/>
        <v>1.108949792</v>
      </c>
      <c r="V432" s="80">
        <v>177.0</v>
      </c>
      <c r="W432" s="52">
        <f t="shared" si="6"/>
        <v>0.642610677</v>
      </c>
      <c r="X432" s="52"/>
      <c r="Y432" s="80">
        <v>0.0</v>
      </c>
      <c r="Z432" s="39">
        <v>-0.25</v>
      </c>
      <c r="AA432" s="81" t="s">
        <v>2225</v>
      </c>
      <c r="AB432" s="82" t="s">
        <v>2279</v>
      </c>
      <c r="AC432" s="54" t="s">
        <v>2280</v>
      </c>
      <c r="AD432" s="82" t="s">
        <v>2281</v>
      </c>
      <c r="AE432" s="54" t="s">
        <v>2271</v>
      </c>
      <c r="AF432" s="40" t="s">
        <v>806</v>
      </c>
      <c r="AG432" s="40" t="s">
        <v>2282</v>
      </c>
      <c r="AH432" s="87">
        <v>9.0</v>
      </c>
      <c r="AI432" s="39"/>
    </row>
    <row r="433">
      <c r="A433" s="58" t="s">
        <v>2283</v>
      </c>
      <c r="B433" s="59">
        <v>1.0</v>
      </c>
      <c r="C433" s="60">
        <v>1.4166666666666667</v>
      </c>
      <c r="D433" s="61">
        <f t="array" ref="D433">IFERROR(INDIRECT("'renta'!G$"&amp;MATCH(T433,renta!$A:$A,0))*0.975-(G433*INDIRECT("'renta'!G$"&amp;MATCH(F433,renta!$A:$A,0)))/B433-IFERROR((J433*INDIRECT("'renta'!G$"&amp;MATCH(I433,renta!$A:$A,0)))/B433,0),)</f>
        <v>129.3493221</v>
      </c>
      <c r="E433" s="41">
        <f t="shared" si="1"/>
        <v>7.608783655</v>
      </c>
      <c r="F433" s="61" t="s">
        <v>75</v>
      </c>
      <c r="G433" s="62">
        <f t="shared" si="36"/>
        <v>9.139</v>
      </c>
      <c r="H433" s="63" t="s">
        <v>1997</v>
      </c>
      <c r="I433" s="61" t="s">
        <v>78</v>
      </c>
      <c r="J433" s="61">
        <f t="shared" si="23"/>
        <v>2.736</v>
      </c>
      <c r="K433" s="61">
        <v>2.88</v>
      </c>
      <c r="L433" s="59" t="s">
        <v>1922</v>
      </c>
      <c r="M433" s="65">
        <v>235.0</v>
      </c>
      <c r="N433" s="65" t="s">
        <v>2265</v>
      </c>
      <c r="O433" s="66" t="s">
        <v>75</v>
      </c>
      <c r="P433" s="65">
        <v>53.0</v>
      </c>
      <c r="Q433" s="65"/>
      <c r="R433" s="67">
        <f t="array" ref="R433">INDIRECT("'renta'!G$"&amp;MATCH(O433,renta!$A:$A,0))*P433</f>
        <v>4240</v>
      </c>
      <c r="S433" s="68">
        <f t="shared" si="46"/>
        <v>7822.422231</v>
      </c>
      <c r="T433" s="69" t="str">
        <f t="shared" si="25"/>
        <v>CEMENT</v>
      </c>
      <c r="U433" s="70">
        <f t="shared" si="5"/>
        <v>0.4188339555</v>
      </c>
      <c r="V433" s="71">
        <v>177.0</v>
      </c>
      <c r="W433" s="72">
        <f t="shared" si="6"/>
        <v>0.7307871307</v>
      </c>
      <c r="X433" s="72"/>
      <c r="Y433" s="71">
        <v>0.0</v>
      </c>
      <c r="Z433" s="60">
        <v>-0.20833333333333334</v>
      </c>
      <c r="AA433" s="85" t="s">
        <v>2149</v>
      </c>
      <c r="AB433" s="74" t="s">
        <v>2284</v>
      </c>
      <c r="AC433" s="75" t="s">
        <v>2285</v>
      </c>
      <c r="AD433" s="110">
        <v>46114.0</v>
      </c>
      <c r="AE433" s="75" t="s">
        <v>2271</v>
      </c>
      <c r="AF433" s="61" t="s">
        <v>806</v>
      </c>
      <c r="AG433" s="61" t="s">
        <v>2286</v>
      </c>
      <c r="AH433" s="86">
        <v>9.0</v>
      </c>
      <c r="AI433" s="60"/>
    </row>
    <row r="434">
      <c r="A434" s="78" t="s">
        <v>85</v>
      </c>
      <c r="B434" s="38">
        <v>1.0</v>
      </c>
      <c r="C434" s="39">
        <v>1.25</v>
      </c>
      <c r="D434" s="40">
        <f t="array" ref="D434">IFERROR(INDIRECT("'renta'!G$"&amp;MATCH(T434,renta!$A:$A,0))*0.975-(G434*INDIRECT("'renta'!G$"&amp;MATCH(F434,renta!$A:$A,0)))/B434-IFERROR((J434*INDIRECT("'renta'!G$"&amp;MATCH(I434,renta!$A:$A,0)))/B434,0),)</f>
        <v>142.7941437</v>
      </c>
      <c r="E434" s="41">
        <f t="shared" si="1"/>
        <v>9.519609578</v>
      </c>
      <c r="F434" s="40" t="s">
        <v>75</v>
      </c>
      <c r="G434" s="43">
        <f t="shared" si="36"/>
        <v>9.044</v>
      </c>
      <c r="H434" s="44" t="s">
        <v>2002</v>
      </c>
      <c r="I434" s="40" t="s">
        <v>78</v>
      </c>
      <c r="J434" s="40">
        <f t="shared" si="23"/>
        <v>2.717</v>
      </c>
      <c r="K434" s="40">
        <v>2.86</v>
      </c>
      <c r="L434" s="38" t="s">
        <v>1928</v>
      </c>
      <c r="M434" s="46">
        <v>235.0</v>
      </c>
      <c r="N434" s="46" t="s">
        <v>2265</v>
      </c>
      <c r="O434" s="42" t="s">
        <v>75</v>
      </c>
      <c r="P434" s="46">
        <v>63.0</v>
      </c>
      <c r="Q434" s="46"/>
      <c r="R434" s="47">
        <f t="array" ref="R434">INDIRECT("'renta'!G$"&amp;MATCH(O434,renta!$A:$A,0))*P434</f>
        <v>5040</v>
      </c>
      <c r="S434" s="48">
        <f t="shared" si="46"/>
        <v>12862.42223</v>
      </c>
      <c r="T434" s="49" t="str">
        <f t="shared" si="25"/>
        <v>CEMENT</v>
      </c>
      <c r="U434" s="50">
        <f t="shared" si="5"/>
        <v>0.3791321276</v>
      </c>
      <c r="V434" s="80">
        <v>177.0</v>
      </c>
      <c r="W434" s="52">
        <f t="shared" si="6"/>
        <v>0.8067465744</v>
      </c>
      <c r="X434" s="52"/>
      <c r="Y434" s="80">
        <v>0.0</v>
      </c>
      <c r="Z434" s="39">
        <v>-0.16666666666666666</v>
      </c>
      <c r="AA434" s="81" t="s">
        <v>1263</v>
      </c>
      <c r="AB434" s="82" t="s">
        <v>2287</v>
      </c>
      <c r="AC434" s="54" t="s">
        <v>2285</v>
      </c>
      <c r="AD434" s="82" t="s">
        <v>2059</v>
      </c>
      <c r="AE434" s="54" t="s">
        <v>2054</v>
      </c>
      <c r="AF434" s="40" t="s">
        <v>806</v>
      </c>
      <c r="AG434" s="40" t="s">
        <v>2288</v>
      </c>
      <c r="AH434" s="87">
        <v>9.0</v>
      </c>
      <c r="AI434" s="39"/>
    </row>
    <row r="435">
      <c r="A435" s="58" t="s">
        <v>2289</v>
      </c>
      <c r="B435" s="59">
        <v>1.0</v>
      </c>
      <c r="C435" s="60">
        <v>1.125</v>
      </c>
      <c r="D435" s="61">
        <f t="array" ref="D435">IFERROR(INDIRECT("'renta'!G$"&amp;MATCH(T435,renta!$A:$A,0))*0.975-(G435*INDIRECT("'renta'!G$"&amp;MATCH(F435,renta!$A:$A,0)))/B435-IFERROR((J435*INDIRECT("'renta'!G$"&amp;MATCH(I435,renta!$A:$A,0)))/B435,0),)</f>
        <v>158.401376</v>
      </c>
      <c r="E435" s="41">
        <f t="shared" si="1"/>
        <v>11.73343526</v>
      </c>
      <c r="F435" s="61" t="s">
        <v>75</v>
      </c>
      <c r="G435" s="62">
        <f t="shared" si="36"/>
        <v>8.9585</v>
      </c>
      <c r="H435" s="63" t="s">
        <v>2006</v>
      </c>
      <c r="I435" s="61" t="s">
        <v>78</v>
      </c>
      <c r="J435" s="61">
        <f t="shared" si="23"/>
        <v>2.6885</v>
      </c>
      <c r="K435" s="61">
        <v>2.83</v>
      </c>
      <c r="L435" s="59" t="s">
        <v>1933</v>
      </c>
      <c r="M435" s="65">
        <v>235.0</v>
      </c>
      <c r="N435" s="65" t="s">
        <v>2265</v>
      </c>
      <c r="O435" s="66" t="s">
        <v>78</v>
      </c>
      <c r="P435" s="65">
        <v>26.0</v>
      </c>
      <c r="Q435" s="65"/>
      <c r="R435" s="67">
        <f t="array" ref="R435">INDIRECT("'renta'!G$"&amp;MATCH(O435,renta!$A:$A,0))*P435</f>
        <v>7998.176836</v>
      </c>
      <c r="S435" s="68">
        <f t="shared" si="46"/>
        <v>20860.59907</v>
      </c>
      <c r="T435" s="69" t="str">
        <f t="shared" si="25"/>
        <v>CEMENT</v>
      </c>
      <c r="U435" s="70">
        <f t="shared" si="5"/>
        <v>0.2767912894</v>
      </c>
      <c r="V435" s="71">
        <v>177.0</v>
      </c>
      <c r="W435" s="72">
        <f t="shared" si="6"/>
        <v>0.8949230281</v>
      </c>
      <c r="X435" s="72"/>
      <c r="Y435" s="71">
        <v>0.0</v>
      </c>
      <c r="Z435" s="60">
        <v>-0.125</v>
      </c>
      <c r="AA435" s="85" t="s">
        <v>627</v>
      </c>
      <c r="AB435" s="74" t="s">
        <v>2290</v>
      </c>
      <c r="AC435" s="75" t="s">
        <v>2291</v>
      </c>
      <c r="AD435" s="74" t="s">
        <v>2292</v>
      </c>
      <c r="AE435" s="75" t="s">
        <v>2293</v>
      </c>
      <c r="AF435" s="61" t="s">
        <v>806</v>
      </c>
      <c r="AG435" s="61" t="s">
        <v>2294</v>
      </c>
      <c r="AH435" s="86">
        <v>9.0</v>
      </c>
      <c r="AI435" s="60"/>
    </row>
    <row r="436">
      <c r="A436" s="78" t="s">
        <v>2295</v>
      </c>
      <c r="B436" s="38">
        <v>1.0</v>
      </c>
      <c r="C436" s="39">
        <v>1.0</v>
      </c>
      <c r="D436" s="40">
        <f t="array" ref="D436">IFERROR(INDIRECT("'renta'!G$"&amp;MATCH(T436,renta!$A:$A,0))*0.975-(G436*INDIRECT("'renta'!G$"&amp;MATCH(F436,renta!$A:$A,0)))/B436-IFERROR((J436*INDIRECT("'renta'!G$"&amp;MATCH(I436,renta!$A:$A,0)))/B436,0),)</f>
        <v>173.2486083</v>
      </c>
      <c r="E436" s="41">
        <f t="shared" si="1"/>
        <v>14.43738402</v>
      </c>
      <c r="F436" s="40" t="s">
        <v>75</v>
      </c>
      <c r="G436" s="43">
        <f t="shared" si="36"/>
        <v>8.8825</v>
      </c>
      <c r="H436" s="44" t="s">
        <v>2012</v>
      </c>
      <c r="I436" s="40" t="s">
        <v>78</v>
      </c>
      <c r="J436" s="40">
        <f t="shared" si="23"/>
        <v>2.66</v>
      </c>
      <c r="K436" s="40">
        <v>2.8</v>
      </c>
      <c r="L436" s="38" t="s">
        <v>1939</v>
      </c>
      <c r="M436" s="46">
        <v>235.0</v>
      </c>
      <c r="N436" s="46" t="s">
        <v>2265</v>
      </c>
      <c r="O436" s="42" t="s">
        <v>78</v>
      </c>
      <c r="P436" s="46">
        <v>33.0</v>
      </c>
      <c r="Q436" s="46"/>
      <c r="R436" s="47">
        <f t="array" ref="R436">INDIRECT("'renta'!G$"&amp;MATCH(O436,renta!$A:$A,0))*P436</f>
        <v>10151.53214</v>
      </c>
      <c r="S436" s="48">
        <f t="shared" si="46"/>
        <v>31012.13121</v>
      </c>
      <c r="T436" s="49" t="str">
        <f t="shared" si="25"/>
        <v>CEMENT</v>
      </c>
      <c r="U436" s="50">
        <f t="shared" si="5"/>
        <v>0.2663586864</v>
      </c>
      <c r="V436" s="80">
        <v>177.0</v>
      </c>
      <c r="W436" s="52">
        <f t="shared" si="6"/>
        <v>0.9788056965</v>
      </c>
      <c r="X436" s="52"/>
      <c r="Y436" s="80">
        <v>0.0</v>
      </c>
      <c r="Z436" s="39">
        <v>-0.125</v>
      </c>
      <c r="AA436" s="81" t="s">
        <v>1276</v>
      </c>
      <c r="AB436" s="82" t="s">
        <v>2296</v>
      </c>
      <c r="AC436" s="54" t="s">
        <v>2297</v>
      </c>
      <c r="AD436" s="82" t="s">
        <v>1923</v>
      </c>
      <c r="AE436" s="54" t="s">
        <v>2232</v>
      </c>
      <c r="AF436" s="40" t="s">
        <v>806</v>
      </c>
      <c r="AG436" s="40" t="s">
        <v>2298</v>
      </c>
      <c r="AH436" s="87">
        <v>9.0</v>
      </c>
      <c r="AI436" s="39"/>
    </row>
    <row r="437">
      <c r="A437" s="58" t="s">
        <v>2299</v>
      </c>
      <c r="B437" s="59">
        <v>1.0</v>
      </c>
      <c r="C437" s="60">
        <v>0.875</v>
      </c>
      <c r="D437" s="61">
        <f t="array" ref="D437">IFERROR(INDIRECT("'renta'!G$"&amp;MATCH(T437,renta!$A:$A,0))*0.975-(G437*INDIRECT("'renta'!G$"&amp;MATCH(F437,renta!$A:$A,0)))/B437-IFERROR((J437*INDIRECT("'renta'!G$"&amp;MATCH(I437,renta!$A:$A,0)))/B437,0),)</f>
        <v>185.9334298</v>
      </c>
      <c r="E437" s="41">
        <f t="shared" si="1"/>
        <v>17.7079457</v>
      </c>
      <c r="F437" s="61" t="s">
        <v>75</v>
      </c>
      <c r="G437" s="62">
        <f t="shared" si="36"/>
        <v>8.797</v>
      </c>
      <c r="H437" s="63" t="s">
        <v>2018</v>
      </c>
      <c r="I437" s="61" t="s">
        <v>78</v>
      </c>
      <c r="J437" s="61">
        <f t="shared" si="23"/>
        <v>2.641</v>
      </c>
      <c r="K437" s="61">
        <v>2.78</v>
      </c>
      <c r="L437" s="59" t="s">
        <v>1945</v>
      </c>
      <c r="M437" s="65">
        <v>235.0</v>
      </c>
      <c r="N437" s="65" t="s">
        <v>2265</v>
      </c>
      <c r="O437" s="66" t="s">
        <v>78</v>
      </c>
      <c r="P437" s="65">
        <v>42.0</v>
      </c>
      <c r="Q437" s="65"/>
      <c r="R437" s="67">
        <f t="array" ref="R437">INDIRECT("'renta'!G$"&amp;MATCH(O437,renta!$A:$A,0))*P437</f>
        <v>12920.13181</v>
      </c>
      <c r="S437" s="68">
        <f t="shared" si="46"/>
        <v>43932.26302</v>
      </c>
      <c r="T437" s="69" t="str">
        <f t="shared" si="25"/>
        <v>CEMENT</v>
      </c>
      <c r="U437" s="70">
        <f t="shared" si="5"/>
        <v>0.2531368658</v>
      </c>
      <c r="V437" s="71">
        <v>177.0</v>
      </c>
      <c r="W437" s="72">
        <f t="shared" si="6"/>
        <v>1.050471355</v>
      </c>
      <c r="X437" s="72"/>
      <c r="Y437" s="71">
        <v>0.0</v>
      </c>
      <c r="Z437" s="60">
        <v>-0.125</v>
      </c>
      <c r="AA437" s="85" t="s">
        <v>416</v>
      </c>
      <c r="AB437" s="74" t="s">
        <v>1742</v>
      </c>
      <c r="AC437" s="75" t="s">
        <v>2300</v>
      </c>
      <c r="AD437" s="74" t="s">
        <v>2301</v>
      </c>
      <c r="AE437" s="75" t="s">
        <v>2232</v>
      </c>
      <c r="AF437" s="61" t="s">
        <v>806</v>
      </c>
      <c r="AG437" s="61" t="s">
        <v>2302</v>
      </c>
      <c r="AH437" s="86">
        <v>9.0</v>
      </c>
      <c r="AI437" s="60"/>
    </row>
    <row r="438">
      <c r="A438" s="78" t="s">
        <v>2303</v>
      </c>
      <c r="B438" s="38">
        <v>1.0</v>
      </c>
      <c r="C438" s="39">
        <v>0.75</v>
      </c>
      <c r="D438" s="40">
        <f t="array" ref="D438">IFERROR(INDIRECT("'renta'!G$"&amp;MATCH(T438,renta!$A:$A,0))*0.975-(G438*INDIRECT("'renta'!G$"&amp;MATCH(F438,renta!$A:$A,0)))/B438-IFERROR((J438*INDIRECT("'renta'!G$"&amp;MATCH(I438,renta!$A:$A,0)))/B438,0),)</f>
        <v>201.5406621</v>
      </c>
      <c r="E438" s="41">
        <f t="shared" si="1"/>
        <v>22.3934069</v>
      </c>
      <c r="F438" s="40" t="s">
        <v>75</v>
      </c>
      <c r="G438" s="43">
        <f t="shared" si="36"/>
        <v>8.7115</v>
      </c>
      <c r="H438" s="44" t="s">
        <v>2304</v>
      </c>
      <c r="I438" s="40" t="s">
        <v>78</v>
      </c>
      <c r="J438" s="40">
        <f t="shared" si="23"/>
        <v>2.6125</v>
      </c>
      <c r="K438" s="40">
        <v>2.75</v>
      </c>
      <c r="L438" s="38" t="s">
        <v>1951</v>
      </c>
      <c r="M438" s="46">
        <v>235.0</v>
      </c>
      <c r="N438" s="46" t="s">
        <v>2265</v>
      </c>
      <c r="O438" s="42" t="s">
        <v>84</v>
      </c>
      <c r="P438" s="46">
        <v>9.0</v>
      </c>
      <c r="Q438" s="46"/>
      <c r="R438" s="47">
        <f t="array" ref="R438">INDIRECT("'renta'!G$"&amp;MATCH(O438,renta!$A:$A,0))*P438</f>
        <v>15711.91037</v>
      </c>
      <c r="S438" s="48">
        <f t="shared" si="46"/>
        <v>59644.17339</v>
      </c>
      <c r="T438" s="49" t="str">
        <f t="shared" si="25"/>
        <v>CEMENT</v>
      </c>
      <c r="U438" s="50">
        <f t="shared" si="5"/>
        <v>0.2982107901</v>
      </c>
      <c r="V438" s="80">
        <v>177.0</v>
      </c>
      <c r="W438" s="52">
        <f t="shared" si="6"/>
        <v>1.138647809</v>
      </c>
      <c r="X438" s="52"/>
      <c r="Y438" s="80">
        <v>0.0</v>
      </c>
      <c r="Z438" s="39">
        <v>-0.125</v>
      </c>
      <c r="AA438" s="81" t="s">
        <v>992</v>
      </c>
      <c r="AB438" s="82" t="s">
        <v>2305</v>
      </c>
      <c r="AC438" s="54" t="s">
        <v>1371</v>
      </c>
      <c r="AD438" s="82" t="s">
        <v>2306</v>
      </c>
      <c r="AE438" s="54" t="s">
        <v>1906</v>
      </c>
      <c r="AF438" s="40" t="s">
        <v>806</v>
      </c>
      <c r="AG438" s="40" t="s">
        <v>2307</v>
      </c>
      <c r="AH438" s="87">
        <v>9.0</v>
      </c>
      <c r="AI438" s="39"/>
    </row>
    <row r="439">
      <c r="A439" s="58" t="s">
        <v>2308</v>
      </c>
      <c r="B439" s="59">
        <v>1.0</v>
      </c>
      <c r="C439" s="60">
        <v>0.625</v>
      </c>
      <c r="D439" s="61">
        <f t="array" ref="D439">IFERROR(INDIRECT("'renta'!G$"&amp;MATCH(T439,renta!$A:$A,0))*0.975-(G439*INDIRECT("'renta'!G$"&amp;MATCH(F439,renta!$A:$A,0)))/B439-IFERROR((J439*INDIRECT("'renta'!G$"&amp;MATCH(I439,renta!$A:$A,0)))/B439,0),)</f>
        <v>214.7054836</v>
      </c>
      <c r="E439" s="41">
        <f t="shared" si="1"/>
        <v>28.62739782</v>
      </c>
      <c r="F439" s="61" t="s">
        <v>75</v>
      </c>
      <c r="G439" s="62">
        <v>8.62</v>
      </c>
      <c r="H439" s="63" t="s">
        <v>2309</v>
      </c>
      <c r="I439" s="61" t="s">
        <v>78</v>
      </c>
      <c r="J439" s="61">
        <f t="shared" si="23"/>
        <v>2.5935</v>
      </c>
      <c r="K439" s="61">
        <v>2.73</v>
      </c>
      <c r="L439" s="59" t="s">
        <v>1957</v>
      </c>
      <c r="M439" s="65">
        <v>235.0</v>
      </c>
      <c r="N439" s="65" t="s">
        <v>2265</v>
      </c>
      <c r="O439" s="66" t="s">
        <v>84</v>
      </c>
      <c r="P439" s="65">
        <v>12.0</v>
      </c>
      <c r="Q439" s="65"/>
      <c r="R439" s="67">
        <f t="array" ref="R439">INDIRECT("'renta'!G$"&amp;MATCH(O439,renta!$A:$A,0))*P439</f>
        <v>20949.21382</v>
      </c>
      <c r="S439" s="68">
        <f t="shared" si="46"/>
        <v>80593.38721</v>
      </c>
      <c r="T439" s="69" t="str">
        <f t="shared" si="25"/>
        <v>CEMENT</v>
      </c>
      <c r="U439" s="70">
        <f t="shared" si="5"/>
        <v>0.2975763659</v>
      </c>
      <c r="V439" s="71">
        <v>177.0</v>
      </c>
      <c r="W439" s="72">
        <f t="shared" si="6"/>
        <v>1.213025331</v>
      </c>
      <c r="X439" s="72"/>
      <c r="Y439" s="71">
        <v>0.0</v>
      </c>
      <c r="Z439" s="60">
        <v>-0.125</v>
      </c>
      <c r="AA439" s="73">
        <v>0.2</v>
      </c>
      <c r="AB439" s="74" t="s">
        <v>2310</v>
      </c>
      <c r="AC439" s="75" t="s">
        <v>2311</v>
      </c>
      <c r="AD439" s="74" t="s">
        <v>2312</v>
      </c>
      <c r="AE439" s="75" t="s">
        <v>2313</v>
      </c>
      <c r="AF439" s="61" t="s">
        <v>806</v>
      </c>
      <c r="AG439" s="61" t="s">
        <v>2314</v>
      </c>
      <c r="AH439" s="86">
        <v>9.0</v>
      </c>
      <c r="AI439" s="60"/>
    </row>
    <row r="440">
      <c r="A440" s="78" t="s">
        <v>2315</v>
      </c>
      <c r="B440" s="38">
        <v>1.0</v>
      </c>
      <c r="C440" s="39">
        <v>0.5208333333333334</v>
      </c>
      <c r="D440" s="40">
        <f t="array" ref="D440">IFERROR(INDIRECT("'renta'!G$"&amp;MATCH(T440,renta!$A:$A,0))*0.975-(G440*INDIRECT("'renta'!G$"&amp;MATCH(F440,renta!$A:$A,0)))/B440-IFERROR((J440*INDIRECT("'renta'!G$"&amp;MATCH(I440,renta!$A:$A,0)))/B440,0),)</f>
        <v>229.0727159</v>
      </c>
      <c r="E440" s="41">
        <f t="shared" si="1"/>
        <v>36.65163455</v>
      </c>
      <c r="F440" s="40" t="s">
        <v>75</v>
      </c>
      <c r="G440" s="43">
        <v>8.55</v>
      </c>
      <c r="H440" s="44" t="s">
        <v>2316</v>
      </c>
      <c r="I440" s="40" t="s">
        <v>78</v>
      </c>
      <c r="J440" s="40">
        <f t="shared" si="23"/>
        <v>2.565</v>
      </c>
      <c r="K440" s="40">
        <v>2.7</v>
      </c>
      <c r="L440" s="38" t="s">
        <v>1963</v>
      </c>
      <c r="M440" s="46">
        <v>235.0</v>
      </c>
      <c r="N440" s="46" t="s">
        <v>2265</v>
      </c>
      <c r="O440" s="42" t="s">
        <v>87</v>
      </c>
      <c r="P440" s="46">
        <v>33.0</v>
      </c>
      <c r="Q440" s="46"/>
      <c r="R440" s="47">
        <f t="array" ref="R440">INDIRECT("'renta'!G$"&amp;MATCH(O440,renta!$A:$A,0))*P440</f>
        <v>74250</v>
      </c>
      <c r="S440" s="48">
        <f t="shared" si="46"/>
        <v>154843.3872</v>
      </c>
      <c r="T440" s="49" t="str">
        <f t="shared" si="25"/>
        <v>CEMENT</v>
      </c>
      <c r="U440" s="50">
        <f t="shared" si="5"/>
        <v>0.1080705284</v>
      </c>
      <c r="V440" s="80"/>
      <c r="W440" s="52" t="str">
        <f t="shared" si="6"/>
        <v/>
      </c>
      <c r="X440" s="52"/>
      <c r="Y440" s="80">
        <v>0.0</v>
      </c>
      <c r="Z440" s="39">
        <v>-0.10416666666666667</v>
      </c>
      <c r="AA440" s="53">
        <v>0.2</v>
      </c>
      <c r="AB440" s="82" t="s">
        <v>2317</v>
      </c>
      <c r="AC440" s="54" t="s">
        <v>2318</v>
      </c>
      <c r="AD440" s="82" t="s">
        <v>2319</v>
      </c>
      <c r="AE440" s="54" t="s">
        <v>2313</v>
      </c>
      <c r="AF440" s="40" t="s">
        <v>806</v>
      </c>
      <c r="AG440" s="40" t="s">
        <v>2320</v>
      </c>
      <c r="AH440" s="87">
        <v>9.0</v>
      </c>
      <c r="AI440" s="39"/>
    </row>
    <row r="441">
      <c r="A441" s="58" t="s">
        <v>2321</v>
      </c>
      <c r="B441" s="59">
        <v>1.0</v>
      </c>
      <c r="C441" s="60">
        <v>0.4375</v>
      </c>
      <c r="D441" s="61">
        <f t="array" ref="D441">IFERROR(INDIRECT("'renta'!G$"&amp;MATCH(T441,renta!$A:$A,0))*0.975-(G441*INDIRECT("'renta'!G$"&amp;MATCH(F441,renta!$A:$A,0)))/B441-IFERROR((J441*INDIRECT("'renta'!G$"&amp;MATCH(I441,renta!$A:$A,0)))/B441,0),)</f>
        <v>240.2375375</v>
      </c>
      <c r="E441" s="41">
        <f t="shared" si="1"/>
        <v>45.75953095</v>
      </c>
      <c r="F441" s="61" t="s">
        <v>75</v>
      </c>
      <c r="G441" s="62">
        <f t="shared" ref="G441:G474" si="47">H441*0.95</f>
        <v>8.4835</v>
      </c>
      <c r="H441" s="63" t="s">
        <v>2322</v>
      </c>
      <c r="I441" s="61" t="s">
        <v>78</v>
      </c>
      <c r="J441" s="61">
        <f t="shared" si="23"/>
        <v>2.546</v>
      </c>
      <c r="K441" s="61">
        <v>2.68</v>
      </c>
      <c r="L441" s="59" t="s">
        <v>1969</v>
      </c>
      <c r="M441" s="65">
        <v>235.0</v>
      </c>
      <c r="N441" s="65" t="s">
        <v>2265</v>
      </c>
      <c r="O441" s="66" t="s">
        <v>87</v>
      </c>
      <c r="P441" s="65">
        <v>45.0</v>
      </c>
      <c r="Q441" s="65"/>
      <c r="R441" s="67">
        <f t="array" ref="R441">INDIRECT("'renta'!G$"&amp;MATCH(O441,renta!$A:$A,0))*P441</f>
        <v>101250</v>
      </c>
      <c r="S441" s="68">
        <f t="shared" si="46"/>
        <v>256093.3872</v>
      </c>
      <c r="T441" s="69" t="str">
        <f t="shared" si="25"/>
        <v>CEMENT</v>
      </c>
      <c r="U441" s="70">
        <f t="shared" si="5"/>
        <v>0.08995453232</v>
      </c>
      <c r="V441" s="71"/>
      <c r="W441" s="72" t="str">
        <f t="shared" si="6"/>
        <v/>
      </c>
      <c r="X441" s="72"/>
      <c r="Y441" s="71">
        <v>0.0</v>
      </c>
      <c r="Z441" s="60">
        <v>-0.08333333333333333</v>
      </c>
      <c r="AA441" s="85" t="s">
        <v>1714</v>
      </c>
      <c r="AB441" s="74" t="s">
        <v>2323</v>
      </c>
      <c r="AC441" s="75" t="s">
        <v>1743</v>
      </c>
      <c r="AD441" s="118">
        <v>46362.0</v>
      </c>
      <c r="AE441" s="75" t="s">
        <v>2312</v>
      </c>
      <c r="AF441" s="61" t="s">
        <v>806</v>
      </c>
      <c r="AG441" s="61" t="s">
        <v>2324</v>
      </c>
      <c r="AH441" s="86">
        <v>9.0</v>
      </c>
      <c r="AI441" s="60"/>
    </row>
    <row r="442">
      <c r="A442" s="78" t="s">
        <v>2325</v>
      </c>
      <c r="B442" s="38">
        <v>1.0</v>
      </c>
      <c r="C442" s="39">
        <v>0.375</v>
      </c>
      <c r="D442" s="40">
        <f t="array" ref="D442">IFERROR(INDIRECT("'renta'!G$"&amp;MATCH(T442,renta!$A:$A,0))*0.975-(G442*INDIRECT("'renta'!G$"&amp;MATCH(F442,renta!$A:$A,0)))/B442-IFERROR((J442*INDIRECT("'renta'!G$"&amp;MATCH(I442,renta!$A:$A,0)))/B442,0),)</f>
        <v>255.0847698</v>
      </c>
      <c r="E442" s="41">
        <v>0.0</v>
      </c>
      <c r="F442" s="40" t="s">
        <v>75</v>
      </c>
      <c r="G442" s="43">
        <f t="shared" si="47"/>
        <v>8.4075</v>
      </c>
      <c r="H442" s="44" t="s">
        <v>2326</v>
      </c>
      <c r="I442" s="40" t="s">
        <v>78</v>
      </c>
      <c r="J442" s="40">
        <f t="shared" si="23"/>
        <v>2.5175</v>
      </c>
      <c r="K442" s="40">
        <v>2.65</v>
      </c>
      <c r="L442" s="38" t="s">
        <v>1973</v>
      </c>
      <c r="M442" s="46">
        <v>235.0</v>
      </c>
      <c r="N442" s="46" t="s">
        <v>2265</v>
      </c>
      <c r="O442" s="42" t="s">
        <v>90</v>
      </c>
      <c r="P442" s="46">
        <v>7.0</v>
      </c>
      <c r="Q442" s="46"/>
      <c r="R442" s="47">
        <f t="array" ref="R442">INDIRECT("'renta'!G$"&amp;MATCH(O442,renta!$A:$A,0))*P442</f>
        <v>63000</v>
      </c>
      <c r="S442" s="48">
        <f t="shared" si="46"/>
        <v>319093.3872</v>
      </c>
      <c r="T442" s="49" t="str">
        <f t="shared" si="25"/>
        <v>CEMENT</v>
      </c>
      <c r="U442" s="50">
        <f t="shared" si="5"/>
        <v>-0.7263417611</v>
      </c>
      <c r="V442" s="80"/>
      <c r="W442" s="52" t="str">
        <f t="shared" si="6"/>
        <v/>
      </c>
      <c r="X442" s="52"/>
      <c r="Y442" s="80">
        <v>0.0</v>
      </c>
      <c r="Z442" s="39">
        <v>-0.0625</v>
      </c>
      <c r="AA442" s="81" t="s">
        <v>992</v>
      </c>
      <c r="AB442" s="82" t="s">
        <v>2327</v>
      </c>
      <c r="AC442" s="54" t="s">
        <v>2328</v>
      </c>
      <c r="AD442" s="111">
        <v>46241.0</v>
      </c>
      <c r="AE442" s="54" t="s">
        <v>1959</v>
      </c>
      <c r="AF442" s="40" t="s">
        <v>806</v>
      </c>
      <c r="AG442" s="40" t="s">
        <v>2329</v>
      </c>
      <c r="AH442" s="87">
        <v>9.0</v>
      </c>
      <c r="AI442" s="39"/>
    </row>
    <row r="443">
      <c r="A443" s="58" t="s">
        <v>2330</v>
      </c>
      <c r="B443" s="59">
        <v>1.0</v>
      </c>
      <c r="C443" s="60">
        <v>0.3333333333333333</v>
      </c>
      <c r="D443" s="61">
        <f t="array" ref="D443">IFERROR(INDIRECT("'renta'!G$"&amp;MATCH(T443,renta!$A:$A,0))*0.975-(G443*INDIRECT("'renta'!G$"&amp;MATCH(F443,renta!$A:$A,0)))/B443-IFERROR((J443*INDIRECT("'renta'!G$"&amp;MATCH(I443,renta!$A:$A,0)))/B443,0),)</f>
        <v>278.1744128</v>
      </c>
      <c r="E443" s="41">
        <v>0.0</v>
      </c>
      <c r="F443" s="61" t="s">
        <v>75</v>
      </c>
      <c r="G443" s="62">
        <f t="shared" si="47"/>
        <v>8.265</v>
      </c>
      <c r="H443" s="63" t="s">
        <v>2331</v>
      </c>
      <c r="I443" s="61" t="s">
        <v>78</v>
      </c>
      <c r="J443" s="61">
        <f t="shared" si="23"/>
        <v>2.4795</v>
      </c>
      <c r="K443" s="61">
        <v>2.61</v>
      </c>
      <c r="L443" s="59" t="s">
        <v>1366</v>
      </c>
      <c r="M443" s="65">
        <v>235.0</v>
      </c>
      <c r="N443" s="65" t="s">
        <v>2265</v>
      </c>
      <c r="O443" s="66" t="s">
        <v>90</v>
      </c>
      <c r="P443" s="65">
        <v>10.0</v>
      </c>
      <c r="Q443" s="65"/>
      <c r="R443" s="67">
        <f t="array" ref="R443">INDIRECT("'renta'!G$"&amp;MATCH(O443,renta!$A:$A,0))*P443</f>
        <v>90000</v>
      </c>
      <c r="S443" s="68">
        <f t="shared" si="46"/>
        <v>409093.3872</v>
      </c>
      <c r="T443" s="69" t="str">
        <f t="shared" si="25"/>
        <v>CEMENT</v>
      </c>
      <c r="U443" s="70">
        <f t="shared" si="5"/>
        <v>0</v>
      </c>
      <c r="V443" s="71"/>
      <c r="W443" s="72" t="str">
        <f t="shared" si="6"/>
        <v/>
      </c>
      <c r="X443" s="72"/>
      <c r="Y443" s="71">
        <v>0.0</v>
      </c>
      <c r="Z443" s="60">
        <v>-0.041666666666666664</v>
      </c>
      <c r="AA443" s="85" t="s">
        <v>1276</v>
      </c>
      <c r="AB443" s="110">
        <v>46291.0</v>
      </c>
      <c r="AC443" s="75" t="s">
        <v>1761</v>
      </c>
      <c r="AD443" s="74" t="s">
        <v>2261</v>
      </c>
      <c r="AE443" s="75" t="s">
        <v>2262</v>
      </c>
      <c r="AF443" s="61" t="s">
        <v>806</v>
      </c>
      <c r="AG443" s="61" t="s">
        <v>2332</v>
      </c>
      <c r="AH443" s="86">
        <v>9.0</v>
      </c>
      <c r="AI443" s="60"/>
    </row>
    <row r="444">
      <c r="A444" s="88"/>
      <c r="B444" s="89"/>
      <c r="C444" s="90"/>
      <c r="D444" s="40" t="str">
        <f t="array" ref="D444">IFERROR(INDIRECT("'renta'!G$"&amp;MATCH(T444,renta!$A:$A,0))*0.975-(G444*INDIRECT("'renta'!G$"&amp;MATCH(F444,renta!$A:$A,0)))/B444-IFERROR((J444*INDIRECT("'renta'!G$"&amp;MATCH(I444,renta!$A:$A,0)))/B444,0),)</f>
        <v/>
      </c>
      <c r="E444" s="41">
        <f t="shared" ref="E444:E474" si="48">IFERROR( D444/C444/24*B444*2*(1+AI444),0)</f>
        <v>0</v>
      </c>
      <c r="F444" s="79"/>
      <c r="G444" s="43">
        <f t="shared" si="47"/>
        <v>0</v>
      </c>
      <c r="H444" s="91"/>
      <c r="I444" s="79"/>
      <c r="J444" s="40">
        <f t="shared" si="23"/>
        <v>0</v>
      </c>
      <c r="K444" s="79"/>
      <c r="L444" s="92"/>
      <c r="M444" s="93"/>
      <c r="N444" s="93"/>
      <c r="O444" s="45"/>
      <c r="P444" s="93"/>
      <c r="Q444" s="93"/>
      <c r="R444" s="47"/>
      <c r="S444" s="48"/>
      <c r="T444" s="49" t="str">
        <f t="shared" si="25"/>
        <v/>
      </c>
      <c r="U444" s="50" t="str">
        <f t="shared" si="5"/>
        <v>#DIV/0!</v>
      </c>
      <c r="V444" s="94"/>
      <c r="W444" s="52" t="str">
        <f t="shared" si="6"/>
        <v/>
      </c>
      <c r="X444" s="52"/>
      <c r="Y444" s="94"/>
      <c r="Z444" s="90"/>
      <c r="AA444" s="95"/>
      <c r="AB444" s="50"/>
      <c r="AC444" s="83"/>
      <c r="AD444" s="50"/>
      <c r="AE444" s="83"/>
      <c r="AF444" s="79"/>
      <c r="AG444" s="79"/>
      <c r="AH444" s="84"/>
      <c r="AI444" s="90"/>
    </row>
    <row r="445">
      <c r="A445" s="58" t="s">
        <v>2333</v>
      </c>
      <c r="B445" s="59">
        <v>1.0</v>
      </c>
      <c r="C445" s="60">
        <v>4.0</v>
      </c>
      <c r="D445" s="61">
        <f t="array" ref="D445">IFERROR(INDIRECT("'renta'!G$"&amp;MATCH(T445,renta!$A:$A,0))*0.975-(G445*INDIRECT("'renta'!G$"&amp;MATCH(F445,renta!$A:$A,0)))/B445-IFERROR((J445*INDIRECT("'renta'!G$"&amp;MATCH(I445,renta!$A:$A,0)))/B445,0),)</f>
        <v>-466.7863878</v>
      </c>
      <c r="E445" s="41">
        <f t="shared" si="48"/>
        <v>-9.724716414</v>
      </c>
      <c r="F445" s="61" t="s">
        <v>52</v>
      </c>
      <c r="G445" s="62">
        <f t="shared" si="47"/>
        <v>2.85</v>
      </c>
      <c r="H445" s="63" t="s">
        <v>136</v>
      </c>
      <c r="I445" s="64"/>
      <c r="J445" s="61">
        <f t="shared" si="23"/>
        <v>0</v>
      </c>
      <c r="K445" s="64"/>
      <c r="L445" s="59" t="s">
        <v>137</v>
      </c>
      <c r="M445" s="65">
        <v>375.0</v>
      </c>
      <c r="N445" s="65" t="s">
        <v>2334</v>
      </c>
      <c r="O445" s="66" t="s">
        <v>12</v>
      </c>
      <c r="P445" s="65">
        <v>1.0</v>
      </c>
      <c r="Q445" s="65"/>
      <c r="R445" s="67">
        <f t="array" ref="R445">INDIRECT("'renta'!G$"&amp;MATCH(O445,renta!$A:$A,0))*P445</f>
        <v>0.0041</v>
      </c>
      <c r="S445" s="68">
        <f t="shared" ref="S445:S454" si="49">SUM(R$445:R445)</f>
        <v>0.0041</v>
      </c>
      <c r="T445" s="69" t="str">
        <f t="shared" si="25"/>
        <v>OIL</v>
      </c>
      <c r="U445" s="70">
        <f t="shared" si="5"/>
        <v>-2371882.052</v>
      </c>
      <c r="V445" s="71">
        <v>263.0</v>
      </c>
      <c r="W445" s="72">
        <f t="shared" si="6"/>
        <v>-1.774853186</v>
      </c>
      <c r="X445" s="72"/>
      <c r="Y445" s="71">
        <v>0.0</v>
      </c>
      <c r="Z445" s="60">
        <v>0.0</v>
      </c>
      <c r="AA445" s="73">
        <v>0.0</v>
      </c>
      <c r="AB445" s="74" t="s">
        <v>2335</v>
      </c>
      <c r="AC445" s="75" t="s">
        <v>2336</v>
      </c>
      <c r="AD445" s="70"/>
      <c r="AE445" s="76"/>
      <c r="AF445" s="61" t="s">
        <v>806</v>
      </c>
      <c r="AG445" s="61" t="s">
        <v>2337</v>
      </c>
      <c r="AH445" s="86">
        <v>9.0</v>
      </c>
      <c r="AI445" s="60"/>
    </row>
    <row r="446">
      <c r="A446" s="78" t="s">
        <v>2338</v>
      </c>
      <c r="B446" s="38">
        <v>1.0</v>
      </c>
      <c r="C446" s="39">
        <v>3.0</v>
      </c>
      <c r="D446" s="40">
        <f t="array" ref="D446">IFERROR(INDIRECT("'renta'!G$"&amp;MATCH(T446,renta!$A:$A,0))*0.975-(G446*INDIRECT("'renta'!G$"&amp;MATCH(F446,renta!$A:$A,0)))/B446-IFERROR((J446*INDIRECT("'renta'!G$"&amp;MATCH(I446,renta!$A:$A,0)))/B446,0),)</f>
        <v>-434.64386</v>
      </c>
      <c r="E446" s="41">
        <f t="shared" si="48"/>
        <v>-12.07344055</v>
      </c>
      <c r="F446" s="40" t="s">
        <v>52</v>
      </c>
      <c r="G446" s="43">
        <f t="shared" si="47"/>
        <v>2.8215</v>
      </c>
      <c r="H446" s="44" t="s">
        <v>2211</v>
      </c>
      <c r="I446" s="79"/>
      <c r="J446" s="40">
        <f t="shared" si="23"/>
        <v>0</v>
      </c>
      <c r="K446" s="79"/>
      <c r="L446" s="38" t="s">
        <v>2339</v>
      </c>
      <c r="M446" s="46">
        <v>375.0</v>
      </c>
      <c r="N446" s="46" t="s">
        <v>2334</v>
      </c>
      <c r="O446" s="42" t="s">
        <v>34</v>
      </c>
      <c r="P446" s="46">
        <v>10.0</v>
      </c>
      <c r="Q446" s="46"/>
      <c r="R446" s="47">
        <f t="array" ref="R446">INDIRECT("'renta'!G$"&amp;MATCH(O446,renta!$A:$A,0))*P446</f>
        <v>1326.82153</v>
      </c>
      <c r="S446" s="48">
        <f t="shared" si="49"/>
        <v>1326.82563</v>
      </c>
      <c r="T446" s="49" t="str">
        <f t="shared" si="25"/>
        <v>OIL</v>
      </c>
      <c r="U446" s="50">
        <f t="shared" si="5"/>
        <v>-1.770188445</v>
      </c>
      <c r="V446" s="80">
        <v>263.0</v>
      </c>
      <c r="W446" s="52">
        <f t="shared" si="6"/>
        <v>-1.652638251</v>
      </c>
      <c r="X446" s="52"/>
      <c r="Y446" s="80">
        <v>0.0</v>
      </c>
      <c r="Z446" s="39">
        <v>-1.0</v>
      </c>
      <c r="AA446" s="81" t="s">
        <v>1465</v>
      </c>
      <c r="AB446" s="82" t="s">
        <v>2340</v>
      </c>
      <c r="AC446" s="54" t="s">
        <v>2341</v>
      </c>
      <c r="AD446" s="50"/>
      <c r="AE446" s="83"/>
      <c r="AF446" s="40" t="s">
        <v>806</v>
      </c>
      <c r="AG446" s="40" t="s">
        <v>2342</v>
      </c>
      <c r="AH446" s="87">
        <v>9.0</v>
      </c>
      <c r="AI446" s="39"/>
    </row>
    <row r="447">
      <c r="A447" s="58" t="s">
        <v>2343</v>
      </c>
      <c r="B447" s="59">
        <v>1.0</v>
      </c>
      <c r="C447" s="60">
        <v>2.3333333333333335</v>
      </c>
      <c r="D447" s="61">
        <f t="array" ref="D447">IFERROR(INDIRECT("'renta'!G$"&amp;MATCH(T447,renta!$A:$A,0))*0.975-(G447*INDIRECT("'renta'!G$"&amp;MATCH(F447,renta!$A:$A,0)))/B447-IFERROR((J447*INDIRECT("'renta'!G$"&amp;MATCH(I447,renta!$A:$A,0)))/B447,0),)</f>
        <v>-391.7871561</v>
      </c>
      <c r="E447" s="41">
        <f t="shared" si="48"/>
        <v>-13.99239843</v>
      </c>
      <c r="F447" s="61" t="s">
        <v>52</v>
      </c>
      <c r="G447" s="62">
        <f t="shared" si="47"/>
        <v>2.7835</v>
      </c>
      <c r="H447" s="63" t="s">
        <v>2344</v>
      </c>
      <c r="I447" s="64"/>
      <c r="J447" s="61">
        <f t="shared" si="23"/>
        <v>0</v>
      </c>
      <c r="K447" s="64"/>
      <c r="L447" s="59" t="s">
        <v>2345</v>
      </c>
      <c r="M447" s="65">
        <v>375.0</v>
      </c>
      <c r="N447" s="65" t="s">
        <v>2334</v>
      </c>
      <c r="O447" s="66" t="s">
        <v>34</v>
      </c>
      <c r="P447" s="65">
        <v>15.0</v>
      </c>
      <c r="Q447" s="65"/>
      <c r="R447" s="67">
        <f t="array" ref="R447">INDIRECT("'renta'!G$"&amp;MATCH(O447,renta!$A:$A,0))*P447</f>
        <v>1990.232295</v>
      </c>
      <c r="S447" s="68">
        <f t="shared" si="49"/>
        <v>3317.057925</v>
      </c>
      <c r="T447" s="69" t="str">
        <f t="shared" si="25"/>
        <v>OIL</v>
      </c>
      <c r="U447" s="70">
        <f t="shared" si="5"/>
        <v>-0.9641878901</v>
      </c>
      <c r="V447" s="71">
        <v>263.0</v>
      </c>
      <c r="W447" s="72">
        <f t="shared" si="6"/>
        <v>-1.489685004</v>
      </c>
      <c r="X447" s="72"/>
      <c r="Y447" s="71">
        <v>0.0</v>
      </c>
      <c r="Z447" s="60">
        <v>-0.6666666666666666</v>
      </c>
      <c r="AA447" s="85" t="s">
        <v>2346</v>
      </c>
      <c r="AB447" s="74" t="s">
        <v>407</v>
      </c>
      <c r="AC447" s="119">
        <v>46113.0</v>
      </c>
      <c r="AD447" s="70"/>
      <c r="AE447" s="76"/>
      <c r="AF447" s="61" t="s">
        <v>806</v>
      </c>
      <c r="AG447" s="61" t="s">
        <v>2347</v>
      </c>
      <c r="AH447" s="86">
        <v>9.0</v>
      </c>
      <c r="AI447" s="60"/>
    </row>
    <row r="448">
      <c r="A448" s="78" t="s">
        <v>2348</v>
      </c>
      <c r="B448" s="38">
        <v>1.0</v>
      </c>
      <c r="C448" s="39">
        <v>1.9166666666666667</v>
      </c>
      <c r="D448" s="40">
        <f t="array" ref="D448">IFERROR(INDIRECT("'renta'!G$"&amp;MATCH(T448,renta!$A:$A,0))*0.975-(G448*INDIRECT("'renta'!G$"&amp;MATCH(F448,renta!$A:$A,0)))/B448-IFERROR((J448*INDIRECT("'renta'!G$"&amp;MATCH(I448,renta!$A:$A,0)))/B448,0),)</f>
        <v>-348.9304522</v>
      </c>
      <c r="E448" s="41">
        <f t="shared" si="48"/>
        <v>-15.17088923</v>
      </c>
      <c r="F448" s="40" t="s">
        <v>52</v>
      </c>
      <c r="G448" s="43">
        <f t="shared" si="47"/>
        <v>2.7455</v>
      </c>
      <c r="H448" s="44" t="s">
        <v>2349</v>
      </c>
      <c r="I448" s="79"/>
      <c r="J448" s="40">
        <f t="shared" si="23"/>
        <v>0</v>
      </c>
      <c r="K448" s="79"/>
      <c r="L448" s="38" t="s">
        <v>2350</v>
      </c>
      <c r="M448" s="46">
        <v>375.0</v>
      </c>
      <c r="N448" s="46" t="s">
        <v>2334</v>
      </c>
      <c r="O448" s="42" t="s">
        <v>34</v>
      </c>
      <c r="P448" s="46">
        <v>23.0</v>
      </c>
      <c r="Q448" s="46"/>
      <c r="R448" s="47">
        <f t="array" ref="R448">INDIRECT("'renta'!G$"&amp;MATCH(O448,renta!$A:$A,0))*P448</f>
        <v>3051.689519</v>
      </c>
      <c r="S448" s="48">
        <f t="shared" si="49"/>
        <v>6368.747445</v>
      </c>
      <c r="T448" s="49" t="str">
        <f t="shared" si="25"/>
        <v>OIL</v>
      </c>
      <c r="U448" s="50">
        <f t="shared" si="5"/>
        <v>-0.3861765058</v>
      </c>
      <c r="V448" s="80">
        <v>263.0</v>
      </c>
      <c r="W448" s="52">
        <f t="shared" si="6"/>
        <v>-1.326731758</v>
      </c>
      <c r="X448" s="52"/>
      <c r="Y448" s="80">
        <v>0.0</v>
      </c>
      <c r="Z448" s="39">
        <v>-0.4166666666666667</v>
      </c>
      <c r="AA448" s="81" t="s">
        <v>165</v>
      </c>
      <c r="AB448" s="82" t="s">
        <v>2351</v>
      </c>
      <c r="AC448" s="54" t="s">
        <v>2352</v>
      </c>
      <c r="AD448" s="50"/>
      <c r="AE448" s="83"/>
      <c r="AF448" s="40" t="s">
        <v>806</v>
      </c>
      <c r="AG448" s="40" t="s">
        <v>2353</v>
      </c>
      <c r="AH448" s="87">
        <v>9.0</v>
      </c>
      <c r="AI448" s="39"/>
    </row>
    <row r="449">
      <c r="A449" s="58" t="s">
        <v>2354</v>
      </c>
      <c r="B449" s="59">
        <v>1.0</v>
      </c>
      <c r="C449" s="60">
        <v>1.5833333333333333</v>
      </c>
      <c r="D449" s="61">
        <f t="array" ref="D449">IFERROR(INDIRECT("'renta'!G$"&amp;MATCH(T449,renta!$A:$A,0))*0.975-(G449*INDIRECT("'renta'!G$"&amp;MATCH(F449,renta!$A:$A,0)))/B449-IFERROR((J449*INDIRECT("'renta'!G$"&amp;MATCH(I449,renta!$A:$A,0)))/B449,0),)</f>
        <v>-306.0737484</v>
      </c>
      <c r="E449" s="41">
        <f t="shared" si="48"/>
        <v>-16.10914465</v>
      </c>
      <c r="F449" s="61" t="s">
        <v>52</v>
      </c>
      <c r="G449" s="62">
        <f t="shared" si="47"/>
        <v>2.7075</v>
      </c>
      <c r="H449" s="63" t="s">
        <v>2151</v>
      </c>
      <c r="I449" s="64"/>
      <c r="J449" s="61">
        <f t="shared" si="23"/>
        <v>0</v>
      </c>
      <c r="K449" s="64"/>
      <c r="L449" s="59" t="s">
        <v>2355</v>
      </c>
      <c r="M449" s="65">
        <v>375.0</v>
      </c>
      <c r="N449" s="65" t="s">
        <v>2334</v>
      </c>
      <c r="O449" s="66" t="s">
        <v>34</v>
      </c>
      <c r="P449" s="65">
        <v>33.0</v>
      </c>
      <c r="Q449" s="65"/>
      <c r="R449" s="67">
        <f t="array" ref="R449">INDIRECT("'renta'!G$"&amp;MATCH(O449,renta!$A:$A,0))*P449</f>
        <v>4378.511049</v>
      </c>
      <c r="S449" s="68">
        <f t="shared" si="49"/>
        <v>10747.25849</v>
      </c>
      <c r="T449" s="69" t="str">
        <f t="shared" si="25"/>
        <v>OIL</v>
      </c>
      <c r="U449" s="70">
        <f t="shared" si="5"/>
        <v>-0.2142864122</v>
      </c>
      <c r="V449" s="71">
        <v>263.0</v>
      </c>
      <c r="W449" s="72">
        <f t="shared" si="6"/>
        <v>-1.163778511</v>
      </c>
      <c r="X449" s="72"/>
      <c r="Y449" s="71">
        <v>0.0</v>
      </c>
      <c r="Z449" s="60">
        <v>-0.3333333333333333</v>
      </c>
      <c r="AA449" s="85" t="s">
        <v>2356</v>
      </c>
      <c r="AB449" s="74" t="s">
        <v>2357</v>
      </c>
      <c r="AC449" s="75" t="s">
        <v>2054</v>
      </c>
      <c r="AD449" s="70"/>
      <c r="AE449" s="76"/>
      <c r="AF449" s="61" t="s">
        <v>806</v>
      </c>
      <c r="AG449" s="61" t="s">
        <v>2358</v>
      </c>
      <c r="AH449" s="86">
        <v>9.0</v>
      </c>
      <c r="AI449" s="60"/>
    </row>
    <row r="450">
      <c r="A450" s="78" t="s">
        <v>2359</v>
      </c>
      <c r="B450" s="38">
        <v>1.0</v>
      </c>
      <c r="C450" s="39">
        <v>1.3333333333333333</v>
      </c>
      <c r="D450" s="40">
        <f t="array" ref="D450">IFERROR(INDIRECT("'renta'!G$"&amp;MATCH(T450,renta!$A:$A,0))*0.975-(G450*INDIRECT("'renta'!G$"&amp;MATCH(F450,renta!$A:$A,0)))/B450-IFERROR((J450*INDIRECT("'renta'!G$"&amp;MATCH(I450,renta!$A:$A,0)))/B450,0),)</f>
        <v>-252.5028685</v>
      </c>
      <c r="E450" s="41">
        <f t="shared" si="48"/>
        <v>-15.78142928</v>
      </c>
      <c r="F450" s="40" t="s">
        <v>52</v>
      </c>
      <c r="G450" s="43">
        <f t="shared" si="47"/>
        <v>2.66</v>
      </c>
      <c r="H450" s="44" t="s">
        <v>2235</v>
      </c>
      <c r="I450" s="79"/>
      <c r="J450" s="40">
        <f t="shared" si="23"/>
        <v>0</v>
      </c>
      <c r="K450" s="79"/>
      <c r="L450" s="38" t="s">
        <v>2360</v>
      </c>
      <c r="M450" s="46">
        <v>375.0</v>
      </c>
      <c r="N450" s="46" t="s">
        <v>2334</v>
      </c>
      <c r="O450" s="42" t="s">
        <v>34</v>
      </c>
      <c r="P450" s="46">
        <v>47.0</v>
      </c>
      <c r="Q450" s="46"/>
      <c r="R450" s="47">
        <f t="array" ref="R450">INDIRECT("'renta'!G$"&amp;MATCH(O450,renta!$A:$A,0))*P450</f>
        <v>6236.061192</v>
      </c>
      <c r="S450" s="48">
        <f t="shared" si="49"/>
        <v>16983.31969</v>
      </c>
      <c r="T450" s="49" t="str">
        <f t="shared" si="25"/>
        <v>OIL</v>
      </c>
      <c r="U450" s="50">
        <f t="shared" si="5"/>
        <v>0.05255165996</v>
      </c>
      <c r="V450" s="80">
        <v>263.0</v>
      </c>
      <c r="W450" s="52">
        <f t="shared" si="6"/>
        <v>-0.9600869526</v>
      </c>
      <c r="X450" s="52"/>
      <c r="Y450" s="80">
        <v>0.0</v>
      </c>
      <c r="Z450" s="39">
        <v>-0.25</v>
      </c>
      <c r="AA450" s="81" t="s">
        <v>2361</v>
      </c>
      <c r="AB450" s="114">
        <v>46297.0</v>
      </c>
      <c r="AC450" s="54" t="s">
        <v>2227</v>
      </c>
      <c r="AD450" s="50"/>
      <c r="AE450" s="83"/>
      <c r="AF450" s="40" t="s">
        <v>806</v>
      </c>
      <c r="AG450" s="40" t="s">
        <v>2362</v>
      </c>
      <c r="AH450" s="87">
        <v>9.0</v>
      </c>
      <c r="AI450" s="39"/>
    </row>
    <row r="451">
      <c r="A451" s="58" t="s">
        <v>2363</v>
      </c>
      <c r="B451" s="59">
        <v>1.0</v>
      </c>
      <c r="C451" s="60">
        <v>1.0833333333333333</v>
      </c>
      <c r="D451" s="61">
        <f t="array" ref="D451">IFERROR(INDIRECT("'renta'!G$"&amp;MATCH(T451,renta!$A:$A,0))*0.975-(G451*INDIRECT("'renta'!G$"&amp;MATCH(F451,renta!$A:$A,0)))/B451-IFERROR((J451*INDIRECT("'renta'!G$"&amp;MATCH(I451,renta!$A:$A,0)))/B451,0),)</f>
        <v>-209.6461647</v>
      </c>
      <c r="E451" s="41">
        <f t="shared" si="48"/>
        <v>-16.12662805</v>
      </c>
      <c r="F451" s="61" t="s">
        <v>52</v>
      </c>
      <c r="G451" s="62">
        <f t="shared" si="47"/>
        <v>2.622</v>
      </c>
      <c r="H451" s="63" t="s">
        <v>2364</v>
      </c>
      <c r="I451" s="64"/>
      <c r="J451" s="61">
        <f t="shared" si="23"/>
        <v>0</v>
      </c>
      <c r="K451" s="64"/>
      <c r="L451" s="59" t="s">
        <v>2365</v>
      </c>
      <c r="M451" s="65">
        <v>375.0</v>
      </c>
      <c r="N451" s="65" t="s">
        <v>2334</v>
      </c>
      <c r="O451" s="66" t="s">
        <v>34</v>
      </c>
      <c r="P451" s="65">
        <v>66.0</v>
      </c>
      <c r="Q451" s="65"/>
      <c r="R451" s="67">
        <f t="array" ref="R451">INDIRECT("'renta'!G$"&amp;MATCH(O451,renta!$A:$A,0))*P451</f>
        <v>8757.022099</v>
      </c>
      <c r="S451" s="68">
        <f t="shared" si="49"/>
        <v>25740.34178</v>
      </c>
      <c r="T451" s="69" t="str">
        <f t="shared" si="25"/>
        <v>OIL</v>
      </c>
      <c r="U451" s="70">
        <f t="shared" si="5"/>
        <v>-0.03941965253</v>
      </c>
      <c r="V451" s="71">
        <v>263.0</v>
      </c>
      <c r="W451" s="72">
        <f t="shared" si="6"/>
        <v>-0.797133706</v>
      </c>
      <c r="X451" s="72"/>
      <c r="Y451" s="71">
        <v>0.0</v>
      </c>
      <c r="Z451" s="60">
        <v>-0.25</v>
      </c>
      <c r="AA451" s="85" t="s">
        <v>1374</v>
      </c>
      <c r="AB451" s="74" t="s">
        <v>2366</v>
      </c>
      <c r="AC451" s="75" t="s">
        <v>147</v>
      </c>
      <c r="AD451" s="70"/>
      <c r="AE451" s="76"/>
      <c r="AF451" s="61" t="s">
        <v>806</v>
      </c>
      <c r="AG451" s="61" t="s">
        <v>2367</v>
      </c>
      <c r="AH451" s="86">
        <v>9.0</v>
      </c>
      <c r="AI451" s="60"/>
    </row>
    <row r="452">
      <c r="A452" s="78" t="s">
        <v>2368</v>
      </c>
      <c r="B452" s="38">
        <v>1.0</v>
      </c>
      <c r="C452" s="39">
        <v>0.8333333333333334</v>
      </c>
      <c r="D452" s="40">
        <f t="array" ref="D452">IFERROR(INDIRECT("'renta'!G$"&amp;MATCH(T452,renta!$A:$A,0))*0.975-(G452*INDIRECT("'renta'!G$"&amp;MATCH(F452,renta!$A:$A,0)))/B452-IFERROR((J452*INDIRECT("'renta'!G$"&amp;MATCH(I452,renta!$A:$A,0)))/B452,0),)</f>
        <v>-156.0752848</v>
      </c>
      <c r="E452" s="41">
        <f t="shared" si="48"/>
        <v>-15.60752848</v>
      </c>
      <c r="F452" s="40" t="s">
        <v>52</v>
      </c>
      <c r="G452" s="43">
        <f t="shared" si="47"/>
        <v>2.5745</v>
      </c>
      <c r="H452" s="44" t="s">
        <v>2369</v>
      </c>
      <c r="I452" s="79"/>
      <c r="J452" s="40">
        <f t="shared" si="23"/>
        <v>0</v>
      </c>
      <c r="K452" s="79"/>
      <c r="L452" s="38" t="s">
        <v>2370</v>
      </c>
      <c r="M452" s="46">
        <v>375.0</v>
      </c>
      <c r="N452" s="46" t="s">
        <v>2334</v>
      </c>
      <c r="O452" s="42" t="s">
        <v>34</v>
      </c>
      <c r="P452" s="46">
        <v>91.0</v>
      </c>
      <c r="Q452" s="46"/>
      <c r="R452" s="47">
        <f t="array" ref="R452">INDIRECT("'renta'!G$"&amp;MATCH(O452,renta!$A:$A,0))*P452</f>
        <v>12074.07592</v>
      </c>
      <c r="S452" s="48">
        <f t="shared" si="49"/>
        <v>37814.41771</v>
      </c>
      <c r="T452" s="49" t="str">
        <f t="shared" si="25"/>
        <v>OIL</v>
      </c>
      <c r="U452" s="50">
        <f t="shared" si="5"/>
        <v>0.04299290236</v>
      </c>
      <c r="V452" s="80">
        <v>263.0</v>
      </c>
      <c r="W452" s="52">
        <f t="shared" si="6"/>
        <v>-0.5934421477</v>
      </c>
      <c r="X452" s="52"/>
      <c r="Y452" s="80">
        <v>0.0</v>
      </c>
      <c r="Z452" s="39">
        <v>-0.25</v>
      </c>
      <c r="AA452" s="53">
        <v>0.3</v>
      </c>
      <c r="AB452" s="82" t="s">
        <v>2371</v>
      </c>
      <c r="AC452" s="54" t="s">
        <v>2059</v>
      </c>
      <c r="AD452" s="50"/>
      <c r="AE452" s="83"/>
      <c r="AF452" s="40" t="s">
        <v>806</v>
      </c>
      <c r="AG452" s="40" t="s">
        <v>2372</v>
      </c>
      <c r="AH452" s="87">
        <v>9.0</v>
      </c>
      <c r="AI452" s="39"/>
    </row>
    <row r="453">
      <c r="A453" s="58" t="s">
        <v>2373</v>
      </c>
      <c r="B453" s="59">
        <v>1.0</v>
      </c>
      <c r="C453" s="60">
        <v>0.625</v>
      </c>
      <c r="D453" s="61">
        <f t="array" ref="D453">IFERROR(INDIRECT("'renta'!G$"&amp;MATCH(T453,renta!$A:$A,0))*0.975-(G453*INDIRECT("'renta'!G$"&amp;MATCH(F453,renta!$A:$A,0)))/B453-IFERROR((J453*INDIRECT("'renta'!G$"&amp;MATCH(I453,renta!$A:$A,0)))/B453,0),)</f>
        <v>-102.504405</v>
      </c>
      <c r="E453" s="41">
        <f t="shared" si="48"/>
        <v>-13.667254</v>
      </c>
      <c r="F453" s="61" t="s">
        <v>52</v>
      </c>
      <c r="G453" s="62">
        <f t="shared" si="47"/>
        <v>2.527</v>
      </c>
      <c r="H453" s="63" t="s">
        <v>2374</v>
      </c>
      <c r="I453" s="64"/>
      <c r="J453" s="61">
        <f t="shared" si="23"/>
        <v>0</v>
      </c>
      <c r="K453" s="64"/>
      <c r="L453" s="59" t="s">
        <v>2375</v>
      </c>
      <c r="M453" s="65">
        <v>375.0</v>
      </c>
      <c r="N453" s="65" t="s">
        <v>2334</v>
      </c>
      <c r="O453" s="66" t="s">
        <v>34</v>
      </c>
      <c r="P453" s="65">
        <v>127.0</v>
      </c>
      <c r="Q453" s="65"/>
      <c r="R453" s="67">
        <f t="array" ref="R453">INDIRECT("'renta'!G$"&amp;MATCH(O453,renta!$A:$A,0))*P453</f>
        <v>16850.63343</v>
      </c>
      <c r="S453" s="68">
        <f t="shared" si="49"/>
        <v>54665.05114</v>
      </c>
      <c r="T453" s="69" t="str">
        <f t="shared" si="25"/>
        <v>OIL</v>
      </c>
      <c r="U453" s="70">
        <f t="shared" si="5"/>
        <v>0.1151454923</v>
      </c>
      <c r="V453" s="71">
        <v>263.0</v>
      </c>
      <c r="W453" s="72">
        <f t="shared" si="6"/>
        <v>-0.3897505894</v>
      </c>
      <c r="X453" s="72"/>
      <c r="Y453" s="71">
        <v>0.0</v>
      </c>
      <c r="Z453" s="60">
        <v>-0.20833333333333334</v>
      </c>
      <c r="AA453" s="85" t="s">
        <v>1465</v>
      </c>
      <c r="AB453" s="74" t="s">
        <v>2376</v>
      </c>
      <c r="AC453" s="75" t="s">
        <v>1906</v>
      </c>
      <c r="AD453" s="70"/>
      <c r="AE453" s="76"/>
      <c r="AF453" s="61" t="s">
        <v>806</v>
      </c>
      <c r="AG453" s="61" t="s">
        <v>2377</v>
      </c>
      <c r="AH453" s="86">
        <v>9.0</v>
      </c>
      <c r="AI453" s="60"/>
    </row>
    <row r="454">
      <c r="A454" s="78" t="s">
        <v>2378</v>
      </c>
      <c r="B454" s="38">
        <v>1.0</v>
      </c>
      <c r="C454" s="39">
        <v>0.4166666666666667</v>
      </c>
      <c r="D454" s="40">
        <f t="array" ref="D454">IFERROR(INDIRECT("'renta'!G$"&amp;MATCH(T454,renta!$A:$A,0))*0.975-(G454*INDIRECT("'renta'!G$"&amp;MATCH(F454,renta!$A:$A,0)))/B454-IFERROR((J454*INDIRECT("'renta'!G$"&amp;MATCH(I454,renta!$A:$A,0)))/B454,0),)</f>
        <v>-48.93352519</v>
      </c>
      <c r="E454" s="41">
        <f t="shared" si="48"/>
        <v>-9.786705038</v>
      </c>
      <c r="F454" s="40" t="s">
        <v>52</v>
      </c>
      <c r="G454" s="43">
        <f t="shared" si="47"/>
        <v>2.4795</v>
      </c>
      <c r="H454" s="44" t="s">
        <v>2184</v>
      </c>
      <c r="I454" s="79"/>
      <c r="J454" s="40">
        <f t="shared" si="23"/>
        <v>0</v>
      </c>
      <c r="K454" s="79"/>
      <c r="L454" s="38" t="s">
        <v>1366</v>
      </c>
      <c r="M454" s="46">
        <v>375.0</v>
      </c>
      <c r="N454" s="46" t="s">
        <v>2334</v>
      </c>
      <c r="O454" s="42" t="s">
        <v>34</v>
      </c>
      <c r="P454" s="46">
        <v>175.0</v>
      </c>
      <c r="Q454" s="46">
        <v>587.0</v>
      </c>
      <c r="R454" s="47">
        <f t="array" ref="R454">INDIRECT("'renta'!G$"&amp;MATCH(O454,renta!$A:$A,0))*P454</f>
        <v>23219.37678</v>
      </c>
      <c r="S454" s="48">
        <f t="shared" si="49"/>
        <v>77884.42792</v>
      </c>
      <c r="T454" s="49" t="str">
        <f t="shared" si="25"/>
        <v>OIL</v>
      </c>
      <c r="U454" s="50">
        <f t="shared" si="5"/>
        <v>0.1671254574</v>
      </c>
      <c r="V454" s="80">
        <v>263.0</v>
      </c>
      <c r="W454" s="52">
        <f t="shared" si="6"/>
        <v>-0.1860590311</v>
      </c>
      <c r="X454" s="52"/>
      <c r="Y454" s="80">
        <v>0.0</v>
      </c>
      <c r="Z454" s="39">
        <v>-0.20833333333333334</v>
      </c>
      <c r="AA454" s="53">
        <v>0.5</v>
      </c>
      <c r="AB454" s="82" t="s">
        <v>2379</v>
      </c>
      <c r="AC454" s="54" t="s">
        <v>2055</v>
      </c>
      <c r="AD454" s="50"/>
      <c r="AE454" s="83"/>
      <c r="AF454" s="40" t="s">
        <v>806</v>
      </c>
      <c r="AG454" s="40" t="s">
        <v>2380</v>
      </c>
      <c r="AH454" s="87">
        <v>9.0</v>
      </c>
      <c r="AI454" s="39"/>
    </row>
    <row r="455">
      <c r="A455" s="96"/>
      <c r="B455" s="97"/>
      <c r="C455" s="98"/>
      <c r="D455" s="61" t="str">
        <f t="array" ref="D455">IFERROR(INDIRECT("'renta'!G$"&amp;MATCH(T455,renta!$A:$A,0))*0.975-(G455*INDIRECT("'renta'!G$"&amp;MATCH(F455,renta!$A:$A,0)))/B455-IFERROR((J455*INDIRECT("'renta'!G$"&amp;MATCH(I455,renta!$A:$A,0)))/B455,0),)</f>
        <v/>
      </c>
      <c r="E455" s="41">
        <f t="shared" si="48"/>
        <v>0</v>
      </c>
      <c r="F455" s="64"/>
      <c r="G455" s="62">
        <f t="shared" si="47"/>
        <v>0</v>
      </c>
      <c r="H455" s="99"/>
      <c r="I455" s="64"/>
      <c r="J455" s="61">
        <f t="shared" si="23"/>
        <v>0</v>
      </c>
      <c r="K455" s="64"/>
      <c r="L455" s="100"/>
      <c r="M455" s="101"/>
      <c r="N455" s="101"/>
      <c r="O455" s="102"/>
      <c r="P455" s="101"/>
      <c r="Q455" s="101"/>
      <c r="R455" s="67"/>
      <c r="S455" s="68"/>
      <c r="T455" s="69" t="str">
        <f t="shared" si="25"/>
        <v/>
      </c>
      <c r="U455" s="70" t="str">
        <f t="shared" si="5"/>
        <v>#DIV/0!</v>
      </c>
      <c r="V455" s="103"/>
      <c r="W455" s="72" t="str">
        <f t="shared" si="6"/>
        <v/>
      </c>
      <c r="X455" s="72"/>
      <c r="Y455" s="103"/>
      <c r="Z455" s="98"/>
      <c r="AA455" s="104"/>
      <c r="AB455" s="70"/>
      <c r="AC455" s="76"/>
      <c r="AD455" s="70"/>
      <c r="AE455" s="76"/>
      <c r="AF455" s="64"/>
      <c r="AG455" s="64"/>
      <c r="AH455" s="77"/>
      <c r="AI455" s="98"/>
    </row>
    <row r="456">
      <c r="A456" s="78" t="s">
        <v>2381</v>
      </c>
      <c r="B456" s="38">
        <v>1.0</v>
      </c>
      <c r="C456" s="39">
        <v>4.5</v>
      </c>
      <c r="D456" s="40">
        <f t="array" ref="D456">IFERROR(INDIRECT("'renta'!G$"&amp;MATCH(T456,renta!$A:$A,0))*0.975-(G456*INDIRECT("'renta'!G$"&amp;MATCH(F456,renta!$A:$A,0)))/B456-IFERROR((J456*INDIRECT("'renta'!G$"&amp;MATCH(I456,renta!$A:$A,0)))/B456,0),)</f>
        <v>-201.1812839</v>
      </c>
      <c r="E456" s="41">
        <f t="shared" si="48"/>
        <v>-3.725579331</v>
      </c>
      <c r="F456" s="40" t="s">
        <v>34</v>
      </c>
      <c r="G456" s="43">
        <f t="shared" si="47"/>
        <v>1.9</v>
      </c>
      <c r="H456" s="44" t="s">
        <v>1898</v>
      </c>
      <c r="I456" s="40" t="s">
        <v>52</v>
      </c>
      <c r="J456" s="40">
        <f t="shared" si="23"/>
        <v>1.9</v>
      </c>
      <c r="K456" s="40">
        <v>2.0</v>
      </c>
      <c r="L456" s="38" t="s">
        <v>137</v>
      </c>
      <c r="M456" s="46">
        <v>425.0</v>
      </c>
      <c r="N456" s="46" t="s">
        <v>2382</v>
      </c>
      <c r="O456" s="42" t="s">
        <v>12</v>
      </c>
      <c r="P456" s="46">
        <v>1.0</v>
      </c>
      <c r="Q456" s="46"/>
      <c r="R456" s="47">
        <f t="array" ref="R456">INDIRECT("'renta'!G$"&amp;MATCH(O456,renta!$A:$A,0))*P456</f>
        <v>0.0041</v>
      </c>
      <c r="S456" s="48">
        <f t="shared" ref="S456:S465" si="50">SUM(R$456:R456)</f>
        <v>0.0041</v>
      </c>
      <c r="T456" s="49" t="str">
        <f t="shared" si="25"/>
        <v>ACID</v>
      </c>
      <c r="U456" s="50">
        <f t="shared" si="5"/>
        <v>-908677.8855</v>
      </c>
      <c r="V456" s="80">
        <v>298.0</v>
      </c>
      <c r="W456" s="52">
        <f t="shared" si="6"/>
        <v>-0.6751049794</v>
      </c>
      <c r="X456" s="52"/>
      <c r="Y456" s="80">
        <v>0.0</v>
      </c>
      <c r="Z456" s="39">
        <v>0.0</v>
      </c>
      <c r="AA456" s="53">
        <v>0.0</v>
      </c>
      <c r="AB456" s="82" t="s">
        <v>2383</v>
      </c>
      <c r="AC456" s="54" t="s">
        <v>2384</v>
      </c>
      <c r="AD456" s="82" t="s">
        <v>2383</v>
      </c>
      <c r="AE456" s="54" t="s">
        <v>2336</v>
      </c>
      <c r="AF456" s="40" t="s">
        <v>806</v>
      </c>
      <c r="AG456" s="40" t="s">
        <v>2385</v>
      </c>
      <c r="AH456" s="87">
        <v>9.0</v>
      </c>
      <c r="AI456" s="39"/>
    </row>
    <row r="457">
      <c r="A457" s="58" t="s">
        <v>2386</v>
      </c>
      <c r="B457" s="59">
        <v>1.0</v>
      </c>
      <c r="C457" s="60">
        <v>3.25</v>
      </c>
      <c r="D457" s="61">
        <f t="array" ref="D457">IFERROR(INDIRECT("'renta'!G$"&amp;MATCH(T457,renta!$A:$A,0))*0.975-(G457*INDIRECT("'renta'!G$"&amp;MATCH(F457,renta!$A:$A,0)))/B457-IFERROR((J457*INDIRECT("'renta'!G$"&amp;MATCH(I457,renta!$A:$A,0)))/B457,0),)</f>
        <v>-177.231971</v>
      </c>
      <c r="E457" s="41">
        <f t="shared" si="48"/>
        <v>-4.544409513</v>
      </c>
      <c r="F457" s="61" t="s">
        <v>34</v>
      </c>
      <c r="G457" s="62">
        <f t="shared" si="47"/>
        <v>1.881</v>
      </c>
      <c r="H457" s="63" t="s">
        <v>1902</v>
      </c>
      <c r="I457" s="61" t="s">
        <v>52</v>
      </c>
      <c r="J457" s="61">
        <f t="shared" si="23"/>
        <v>1.881</v>
      </c>
      <c r="K457" s="61">
        <v>1.98</v>
      </c>
      <c r="L457" s="59" t="s">
        <v>2339</v>
      </c>
      <c r="M457" s="65">
        <v>425.0</v>
      </c>
      <c r="N457" s="65" t="s">
        <v>2382</v>
      </c>
      <c r="O457" s="66" t="s">
        <v>34</v>
      </c>
      <c r="P457" s="65">
        <v>10.0</v>
      </c>
      <c r="Q457" s="65"/>
      <c r="R457" s="67">
        <f t="array" ref="R457">INDIRECT("'renta'!G$"&amp;MATCH(O457,renta!$A:$A,0))*P457</f>
        <v>1326.82153</v>
      </c>
      <c r="S457" s="68">
        <f t="shared" si="50"/>
        <v>1326.82563</v>
      </c>
      <c r="T457" s="69" t="str">
        <f t="shared" si="25"/>
        <v>ACID</v>
      </c>
      <c r="U457" s="70">
        <f t="shared" si="5"/>
        <v>-0.6171366412</v>
      </c>
      <c r="V457" s="71">
        <v>298.0</v>
      </c>
      <c r="W457" s="72">
        <f t="shared" si="6"/>
        <v>-0.5947381578</v>
      </c>
      <c r="X457" s="72"/>
      <c r="Y457" s="71">
        <v>0.0</v>
      </c>
      <c r="Z457" s="60">
        <v>-1.25</v>
      </c>
      <c r="AA457" s="85" t="s">
        <v>2387</v>
      </c>
      <c r="AB457" s="74" t="s">
        <v>2388</v>
      </c>
      <c r="AC457" s="75" t="s">
        <v>2389</v>
      </c>
      <c r="AD457" s="74" t="s">
        <v>2388</v>
      </c>
      <c r="AE457" s="75" t="s">
        <v>2341</v>
      </c>
      <c r="AF457" s="61" t="s">
        <v>806</v>
      </c>
      <c r="AG457" s="61" t="s">
        <v>2282</v>
      </c>
      <c r="AH457" s="86">
        <v>9.0</v>
      </c>
      <c r="AI457" s="60"/>
    </row>
    <row r="458">
      <c r="A458" s="78" t="s">
        <v>2390</v>
      </c>
      <c r="B458" s="38">
        <v>1.0</v>
      </c>
      <c r="C458" s="39">
        <v>2.5416666666666665</v>
      </c>
      <c r="D458" s="40">
        <f t="array" ref="D458">IFERROR(INDIRECT("'renta'!G$"&amp;MATCH(T458,renta!$A:$A,0))*0.975-(G458*INDIRECT("'renta'!G$"&amp;MATCH(F458,renta!$A:$A,0)))/B458-IFERROR((J458*INDIRECT("'renta'!G$"&amp;MATCH(I458,renta!$A:$A,0)))/B458,0),)</f>
        <v>-141.3080018</v>
      </c>
      <c r="E458" s="41">
        <f t="shared" si="48"/>
        <v>-4.633049238</v>
      </c>
      <c r="F458" s="40" t="s">
        <v>34</v>
      </c>
      <c r="G458" s="43">
        <f t="shared" si="47"/>
        <v>1.8525</v>
      </c>
      <c r="H458" s="44" t="s">
        <v>2391</v>
      </c>
      <c r="I458" s="40" t="s">
        <v>52</v>
      </c>
      <c r="J458" s="40">
        <f t="shared" si="23"/>
        <v>1.8525</v>
      </c>
      <c r="K458" s="40">
        <v>1.95</v>
      </c>
      <c r="L458" s="38" t="s">
        <v>2345</v>
      </c>
      <c r="M458" s="46">
        <v>425.0</v>
      </c>
      <c r="N458" s="46" t="s">
        <v>2382</v>
      </c>
      <c r="O458" s="42" t="s">
        <v>75</v>
      </c>
      <c r="P458" s="46">
        <v>69.0</v>
      </c>
      <c r="Q458" s="46"/>
      <c r="R458" s="47">
        <f t="array" ref="R458">INDIRECT("'renta'!G$"&amp;MATCH(O458,renta!$A:$A,0))*P458</f>
        <v>5520</v>
      </c>
      <c r="S458" s="48">
        <f t="shared" si="50"/>
        <v>6846.82563</v>
      </c>
      <c r="T458" s="49" t="str">
        <f t="shared" si="25"/>
        <v>ACID</v>
      </c>
      <c r="U458" s="50">
        <f t="shared" si="5"/>
        <v>-0.01605792115</v>
      </c>
      <c r="V458" s="80">
        <v>298.0</v>
      </c>
      <c r="W458" s="52">
        <f t="shared" si="6"/>
        <v>-0.4741879254</v>
      </c>
      <c r="X458" s="52"/>
      <c r="Y458" s="80">
        <v>0.0</v>
      </c>
      <c r="Z458" s="39">
        <v>-0.7083333333333334</v>
      </c>
      <c r="AA458" s="81" t="s">
        <v>2392</v>
      </c>
      <c r="AB458" s="82" t="s">
        <v>2393</v>
      </c>
      <c r="AC458" s="54" t="s">
        <v>1899</v>
      </c>
      <c r="AD458" s="82" t="s">
        <v>2393</v>
      </c>
      <c r="AE458" s="120">
        <v>46113.0</v>
      </c>
      <c r="AF458" s="40" t="s">
        <v>806</v>
      </c>
      <c r="AG458" s="40" t="s">
        <v>2394</v>
      </c>
      <c r="AH458" s="87">
        <v>9.0</v>
      </c>
      <c r="AI458" s="39"/>
    </row>
    <row r="459">
      <c r="A459" s="58" t="s">
        <v>88</v>
      </c>
      <c r="B459" s="59">
        <v>1.0</v>
      </c>
      <c r="C459" s="60">
        <v>2.0833333333333335</v>
      </c>
      <c r="D459" s="61">
        <f t="array" ref="D459">IFERROR(INDIRECT("'renta'!G$"&amp;MATCH(T459,renta!$A:$A,0))*0.975-(G459*INDIRECT("'renta'!G$"&amp;MATCH(F459,renta!$A:$A,0)))/B459-IFERROR((J459*INDIRECT("'renta'!G$"&amp;MATCH(I459,renta!$A:$A,0)))/B459,0),)</f>
        <v>-117.3586889</v>
      </c>
      <c r="E459" s="41">
        <f t="shared" si="48"/>
        <v>-4.694347557</v>
      </c>
      <c r="F459" s="61" t="s">
        <v>34</v>
      </c>
      <c r="G459" s="62">
        <f t="shared" si="47"/>
        <v>1.8335</v>
      </c>
      <c r="H459" s="63" t="s">
        <v>2395</v>
      </c>
      <c r="I459" s="61" t="s">
        <v>52</v>
      </c>
      <c r="J459" s="61">
        <f t="shared" si="23"/>
        <v>1.8335</v>
      </c>
      <c r="K459" s="61">
        <v>1.93</v>
      </c>
      <c r="L459" s="59" t="s">
        <v>2350</v>
      </c>
      <c r="M459" s="65">
        <v>425.0</v>
      </c>
      <c r="N459" s="65" t="s">
        <v>2382</v>
      </c>
      <c r="O459" s="66" t="s">
        <v>75</v>
      </c>
      <c r="P459" s="65">
        <v>102.0</v>
      </c>
      <c r="Q459" s="65"/>
      <c r="R459" s="67">
        <f t="array" ref="R459">INDIRECT("'renta'!G$"&amp;MATCH(O459,renta!$A:$A,0))*P459</f>
        <v>8160</v>
      </c>
      <c r="S459" s="68">
        <f t="shared" si="50"/>
        <v>15006.82563</v>
      </c>
      <c r="T459" s="69" t="str">
        <f t="shared" si="25"/>
        <v>ACID</v>
      </c>
      <c r="U459" s="70">
        <f t="shared" si="5"/>
        <v>-0.007512048873</v>
      </c>
      <c r="V459" s="71">
        <v>298.0</v>
      </c>
      <c r="W459" s="72">
        <f t="shared" si="6"/>
        <v>-0.3938211038</v>
      </c>
      <c r="X459" s="72"/>
      <c r="Y459" s="71">
        <v>0.0</v>
      </c>
      <c r="Z459" s="60">
        <v>-0.4583333333333333</v>
      </c>
      <c r="AA459" s="73">
        <v>0.22</v>
      </c>
      <c r="AB459" s="74" t="s">
        <v>2396</v>
      </c>
      <c r="AC459" s="75" t="s">
        <v>2397</v>
      </c>
      <c r="AD459" s="74" t="s">
        <v>2396</v>
      </c>
      <c r="AE459" s="75" t="s">
        <v>2352</v>
      </c>
      <c r="AF459" s="61" t="s">
        <v>806</v>
      </c>
      <c r="AG459" s="61" t="s">
        <v>2398</v>
      </c>
      <c r="AH459" s="86">
        <v>9.0</v>
      </c>
      <c r="AI459" s="60"/>
    </row>
    <row r="460">
      <c r="A460" s="78" t="s">
        <v>2399</v>
      </c>
      <c r="B460" s="38">
        <v>1.0</v>
      </c>
      <c r="C460" s="39">
        <v>1.7083333333333333</v>
      </c>
      <c r="D460" s="40">
        <f t="array" ref="D460">IFERROR(INDIRECT("'renta'!G$"&amp;MATCH(T460,renta!$A:$A,0))*0.975-(G460*INDIRECT("'renta'!G$"&amp;MATCH(F460,renta!$A:$A,0)))/B460-IFERROR((J460*INDIRECT("'renta'!G$"&amp;MATCH(I460,renta!$A:$A,0)))/B460,0),)</f>
        <v>-81.43471966</v>
      </c>
      <c r="E460" s="41">
        <f t="shared" si="48"/>
        <v>-3.972425349</v>
      </c>
      <c r="F460" s="40" t="s">
        <v>34</v>
      </c>
      <c r="G460" s="43">
        <f t="shared" si="47"/>
        <v>1.805</v>
      </c>
      <c r="H460" s="44" t="s">
        <v>1927</v>
      </c>
      <c r="I460" s="40" t="s">
        <v>52</v>
      </c>
      <c r="J460" s="40">
        <f t="shared" si="23"/>
        <v>1.805</v>
      </c>
      <c r="K460" s="40">
        <v>1.9</v>
      </c>
      <c r="L460" s="38" t="s">
        <v>2355</v>
      </c>
      <c r="M460" s="46">
        <v>425.0</v>
      </c>
      <c r="N460" s="46" t="s">
        <v>2382</v>
      </c>
      <c r="O460" s="42" t="s">
        <v>78</v>
      </c>
      <c r="P460" s="46">
        <v>49.0</v>
      </c>
      <c r="Q460" s="46"/>
      <c r="R460" s="47">
        <f t="array" ref="R460">INDIRECT("'renta'!G$"&amp;MATCH(O460,renta!$A:$A,0))*P460</f>
        <v>15073.48711</v>
      </c>
      <c r="S460" s="48">
        <f t="shared" si="50"/>
        <v>30080.31274</v>
      </c>
      <c r="T460" s="49" t="str">
        <f t="shared" si="25"/>
        <v>ACID</v>
      </c>
      <c r="U460" s="50">
        <f t="shared" si="5"/>
        <v>0.0478935101</v>
      </c>
      <c r="V460" s="80">
        <v>298.0</v>
      </c>
      <c r="W460" s="52">
        <f t="shared" si="6"/>
        <v>-0.2732708713</v>
      </c>
      <c r="X460" s="52"/>
      <c r="Y460" s="80">
        <v>0.0</v>
      </c>
      <c r="Z460" s="39">
        <v>-0.375</v>
      </c>
      <c r="AA460" s="81" t="s">
        <v>2400</v>
      </c>
      <c r="AB460" s="114">
        <v>46327.0</v>
      </c>
      <c r="AC460" s="54" t="s">
        <v>2401</v>
      </c>
      <c r="AD460" s="114">
        <v>46327.0</v>
      </c>
      <c r="AE460" s="54" t="s">
        <v>2054</v>
      </c>
      <c r="AF460" s="40" t="s">
        <v>806</v>
      </c>
      <c r="AG460" s="40" t="s">
        <v>2402</v>
      </c>
      <c r="AH460" s="87">
        <v>9.0</v>
      </c>
      <c r="AI460" s="39"/>
    </row>
    <row r="461">
      <c r="A461" s="58" t="s">
        <v>2403</v>
      </c>
      <c r="B461" s="59">
        <v>1.0</v>
      </c>
      <c r="C461" s="60">
        <v>1.4166666666666667</v>
      </c>
      <c r="D461" s="61">
        <f t="array" ref="D461">IFERROR(INDIRECT("'renta'!G$"&amp;MATCH(T461,renta!$A:$A,0))*0.975-(G461*INDIRECT("'renta'!G$"&amp;MATCH(F461,renta!$A:$A,0)))/B461-IFERROR((J461*INDIRECT("'renta'!G$"&amp;MATCH(I461,renta!$A:$A,0)))/B461,0),)</f>
        <v>-45.5107504</v>
      </c>
      <c r="E461" s="41">
        <f t="shared" si="48"/>
        <v>-2.677102965</v>
      </c>
      <c r="F461" s="61" t="s">
        <v>34</v>
      </c>
      <c r="G461" s="62">
        <f t="shared" si="47"/>
        <v>1.7765</v>
      </c>
      <c r="H461" s="63" t="s">
        <v>1938</v>
      </c>
      <c r="I461" s="61" t="s">
        <v>52</v>
      </c>
      <c r="J461" s="61">
        <f t="shared" si="23"/>
        <v>1.7765</v>
      </c>
      <c r="K461" s="61">
        <v>1.87</v>
      </c>
      <c r="L461" s="59" t="s">
        <v>2360</v>
      </c>
      <c r="M461" s="65">
        <v>425.0</v>
      </c>
      <c r="N461" s="65" t="s">
        <v>2382</v>
      </c>
      <c r="O461" s="66" t="s">
        <v>78</v>
      </c>
      <c r="P461" s="65">
        <v>70.0</v>
      </c>
      <c r="Q461" s="65"/>
      <c r="R461" s="67">
        <f t="array" ref="R461">INDIRECT("'renta'!G$"&amp;MATCH(O461,renta!$A:$A,0))*P461</f>
        <v>21533.55302</v>
      </c>
      <c r="S461" s="68">
        <f t="shared" si="50"/>
        <v>51613.86577</v>
      </c>
      <c r="T461" s="69" t="str">
        <f t="shared" si="25"/>
        <v>ACID</v>
      </c>
      <c r="U461" s="70">
        <f t="shared" si="5"/>
        <v>0.0601536766</v>
      </c>
      <c r="V461" s="71">
        <v>298.0</v>
      </c>
      <c r="W461" s="72">
        <f t="shared" si="6"/>
        <v>-0.1527206389</v>
      </c>
      <c r="X461" s="72"/>
      <c r="Y461" s="71">
        <v>0.0</v>
      </c>
      <c r="Z461" s="60">
        <v>-0.2916666666666667</v>
      </c>
      <c r="AA461" s="85" t="s">
        <v>2404</v>
      </c>
      <c r="AB461" s="74" t="s">
        <v>2405</v>
      </c>
      <c r="AC461" s="75" t="s">
        <v>2406</v>
      </c>
      <c r="AD461" s="74" t="s">
        <v>2405</v>
      </c>
      <c r="AE461" s="75" t="s">
        <v>2227</v>
      </c>
      <c r="AF461" s="61" t="s">
        <v>806</v>
      </c>
      <c r="AG461" s="61" t="s">
        <v>2407</v>
      </c>
      <c r="AH461" s="86">
        <v>9.0</v>
      </c>
      <c r="AI461" s="60"/>
    </row>
    <row r="462">
      <c r="A462" s="78" t="s">
        <v>2408</v>
      </c>
      <c r="B462" s="38">
        <v>1.0</v>
      </c>
      <c r="C462" s="39">
        <v>1.125</v>
      </c>
      <c r="D462" s="40">
        <f t="array" ref="D462">IFERROR(INDIRECT("'renta'!G$"&amp;MATCH(T462,renta!$A:$A,0))*0.975-(G462*INDIRECT("'renta'!G$"&amp;MATCH(F462,renta!$A:$A,0)))/B462-IFERROR((J462*INDIRECT("'renta'!G$"&amp;MATCH(I462,renta!$A:$A,0)))/B462,0),)</f>
        <v>-9.586781145</v>
      </c>
      <c r="E462" s="41">
        <f t="shared" si="48"/>
        <v>-0.7101319367</v>
      </c>
      <c r="F462" s="40" t="s">
        <v>34</v>
      </c>
      <c r="G462" s="43">
        <f t="shared" si="47"/>
        <v>1.748</v>
      </c>
      <c r="H462" s="44" t="s">
        <v>2409</v>
      </c>
      <c r="I462" s="40" t="s">
        <v>52</v>
      </c>
      <c r="J462" s="40">
        <f t="shared" si="23"/>
        <v>1.748</v>
      </c>
      <c r="K462" s="40">
        <v>1.84</v>
      </c>
      <c r="L462" s="38" t="s">
        <v>2365</v>
      </c>
      <c r="M462" s="46">
        <v>425.0</v>
      </c>
      <c r="N462" s="46" t="s">
        <v>2382</v>
      </c>
      <c r="O462" s="42" t="s">
        <v>84</v>
      </c>
      <c r="P462" s="46">
        <v>16.0</v>
      </c>
      <c r="Q462" s="46"/>
      <c r="R462" s="47">
        <f t="array" ref="R462">INDIRECT("'renta'!G$"&amp;MATCH(O462,renta!$A:$A,0))*P462</f>
        <v>27932.2851</v>
      </c>
      <c r="S462" s="48">
        <f t="shared" si="50"/>
        <v>79546.15086</v>
      </c>
      <c r="T462" s="49" t="str">
        <f t="shared" si="25"/>
        <v>ACID</v>
      </c>
      <c r="U462" s="50">
        <f t="shared" si="5"/>
        <v>0.0704192665</v>
      </c>
      <c r="V462" s="80">
        <v>298.0</v>
      </c>
      <c r="W462" s="52">
        <f t="shared" si="6"/>
        <v>-0.03217040653</v>
      </c>
      <c r="X462" s="52"/>
      <c r="Y462" s="80">
        <v>0.0</v>
      </c>
      <c r="Z462" s="39">
        <v>-0.2916666666666667</v>
      </c>
      <c r="AA462" s="81" t="s">
        <v>2410</v>
      </c>
      <c r="AB462" s="82" t="s">
        <v>2411</v>
      </c>
      <c r="AC462" s="54" t="s">
        <v>2412</v>
      </c>
      <c r="AD462" s="82" t="s">
        <v>2411</v>
      </c>
      <c r="AE462" s="54" t="s">
        <v>147</v>
      </c>
      <c r="AF462" s="40" t="s">
        <v>806</v>
      </c>
      <c r="AG462" s="40" t="s">
        <v>2413</v>
      </c>
      <c r="AH462" s="87">
        <v>9.0</v>
      </c>
      <c r="AI462" s="39"/>
    </row>
    <row r="463">
      <c r="A463" s="58" t="s">
        <v>2414</v>
      </c>
      <c r="B463" s="59">
        <v>1.0</v>
      </c>
      <c r="C463" s="60">
        <v>0.875</v>
      </c>
      <c r="D463" s="61">
        <f t="array" ref="D463">IFERROR(INDIRECT("'renta'!G$"&amp;MATCH(T463,renta!$A:$A,0))*0.975-(G463*INDIRECT("'renta'!G$"&amp;MATCH(F463,renta!$A:$A,0)))/B463-IFERROR((J463*INDIRECT("'renta'!G$"&amp;MATCH(I463,renta!$A:$A,0)))/B463,0),)</f>
        <v>26.33718811</v>
      </c>
      <c r="E463" s="41">
        <f t="shared" si="48"/>
        <v>2.50830363</v>
      </c>
      <c r="F463" s="61" t="s">
        <v>34</v>
      </c>
      <c r="G463" s="62">
        <f t="shared" si="47"/>
        <v>1.7195</v>
      </c>
      <c r="H463" s="63" t="s">
        <v>2415</v>
      </c>
      <c r="I463" s="61" t="s">
        <v>52</v>
      </c>
      <c r="J463" s="61">
        <f t="shared" si="23"/>
        <v>1.7195</v>
      </c>
      <c r="K463" s="61">
        <v>1.81</v>
      </c>
      <c r="L463" s="59" t="s">
        <v>2370</v>
      </c>
      <c r="M463" s="65">
        <v>425.0</v>
      </c>
      <c r="N463" s="65" t="s">
        <v>2382</v>
      </c>
      <c r="O463" s="66" t="s">
        <v>87</v>
      </c>
      <c r="P463" s="65">
        <v>46.0</v>
      </c>
      <c r="Q463" s="65"/>
      <c r="R463" s="67">
        <f t="array" ref="R463">INDIRECT("'renta'!G$"&amp;MATCH(O463,renta!$A:$A,0))*P463</f>
        <v>103500</v>
      </c>
      <c r="S463" s="68">
        <f t="shared" si="50"/>
        <v>183046.1509</v>
      </c>
      <c r="T463" s="69" t="str">
        <f t="shared" si="25"/>
        <v>ACID</v>
      </c>
      <c r="U463" s="70">
        <f t="shared" si="5"/>
        <v>0.03109599581</v>
      </c>
      <c r="V463" s="71">
        <v>298.0</v>
      </c>
      <c r="W463" s="72">
        <f t="shared" si="6"/>
        <v>0.08837982588</v>
      </c>
      <c r="X463" s="72"/>
      <c r="Y463" s="71">
        <v>0.0</v>
      </c>
      <c r="Z463" s="60">
        <v>-0.25</v>
      </c>
      <c r="AA463" s="85" t="s">
        <v>2346</v>
      </c>
      <c r="AB463" s="110">
        <v>46205.0</v>
      </c>
      <c r="AC463" s="75" t="s">
        <v>2416</v>
      </c>
      <c r="AD463" s="110">
        <v>46205.0</v>
      </c>
      <c r="AE463" s="75" t="s">
        <v>2059</v>
      </c>
      <c r="AF463" s="61" t="s">
        <v>806</v>
      </c>
      <c r="AG463" s="61" t="s">
        <v>2324</v>
      </c>
      <c r="AH463" s="86">
        <v>9.0</v>
      </c>
      <c r="AI463" s="60"/>
    </row>
    <row r="464">
      <c r="A464" s="78" t="s">
        <v>2417</v>
      </c>
      <c r="B464" s="38">
        <v>1.0</v>
      </c>
      <c r="C464" s="39">
        <v>0.625</v>
      </c>
      <c r="D464" s="40">
        <f t="array" ref="D464">IFERROR(INDIRECT("'renta'!G$"&amp;MATCH(T464,renta!$A:$A,0))*0.975-(G464*INDIRECT("'renta'!G$"&amp;MATCH(F464,renta!$A:$A,0)))/B464-IFERROR((J464*INDIRECT("'renta'!G$"&amp;MATCH(I464,renta!$A:$A,0)))/B464,0),)</f>
        <v>74.23581379</v>
      </c>
      <c r="E464" s="41">
        <f t="shared" si="48"/>
        <v>9.898108505</v>
      </c>
      <c r="F464" s="40" t="s">
        <v>34</v>
      </c>
      <c r="G464" s="43">
        <f t="shared" si="47"/>
        <v>1.6815</v>
      </c>
      <c r="H464" s="44" t="s">
        <v>2418</v>
      </c>
      <c r="I464" s="40" t="s">
        <v>52</v>
      </c>
      <c r="J464" s="40">
        <f t="shared" si="23"/>
        <v>1.6815</v>
      </c>
      <c r="K464" s="40">
        <v>1.77</v>
      </c>
      <c r="L464" s="38" t="s">
        <v>2375</v>
      </c>
      <c r="M464" s="46">
        <v>425.0</v>
      </c>
      <c r="N464" s="46" t="s">
        <v>2382</v>
      </c>
      <c r="O464" s="42" t="s">
        <v>87</v>
      </c>
      <c r="P464" s="46">
        <v>63.0</v>
      </c>
      <c r="Q464" s="46"/>
      <c r="R464" s="47">
        <f t="array" ref="R464">INDIRECT("'renta'!G$"&amp;MATCH(O464,renta!$A:$A,0))*P464</f>
        <v>141750</v>
      </c>
      <c r="S464" s="48">
        <f t="shared" si="50"/>
        <v>324796.1509</v>
      </c>
      <c r="T464" s="49" t="str">
        <f t="shared" si="25"/>
        <v>ACID</v>
      </c>
      <c r="U464" s="50">
        <f t="shared" si="5"/>
        <v>0.05213266226</v>
      </c>
      <c r="V464" s="80">
        <v>298.0</v>
      </c>
      <c r="W464" s="52">
        <f t="shared" si="6"/>
        <v>0.2491134691</v>
      </c>
      <c r="X464" s="52"/>
      <c r="Y464" s="80">
        <v>0.0</v>
      </c>
      <c r="Z464" s="39">
        <v>-0.25</v>
      </c>
      <c r="AA464" s="53">
        <v>0.4</v>
      </c>
      <c r="AB464" s="82" t="s">
        <v>2174</v>
      </c>
      <c r="AC464" s="54" t="s">
        <v>2181</v>
      </c>
      <c r="AD464" s="82" t="s">
        <v>2174</v>
      </c>
      <c r="AE464" s="54" t="s">
        <v>1906</v>
      </c>
      <c r="AF464" s="40" t="s">
        <v>806</v>
      </c>
      <c r="AG464" s="40" t="s">
        <v>2419</v>
      </c>
      <c r="AH464" s="87">
        <v>9.0</v>
      </c>
      <c r="AI464" s="39"/>
    </row>
    <row r="465">
      <c r="A465" s="58" t="s">
        <v>2420</v>
      </c>
      <c r="B465" s="59">
        <v>1.0</v>
      </c>
      <c r="C465" s="60">
        <v>0.4166666666666667</v>
      </c>
      <c r="D465" s="61">
        <f t="array" ref="D465">IFERROR(INDIRECT("'renta'!G$"&amp;MATCH(T465,renta!$A:$A,0))*0.975-(G465*INDIRECT("'renta'!G$"&amp;MATCH(F465,renta!$A:$A,0)))/B465-IFERROR((J465*INDIRECT("'renta'!G$"&amp;MATCH(I465,renta!$A:$A,0)))/B465,0),)</f>
        <v>110.159783</v>
      </c>
      <c r="E465" s="41">
        <f t="shared" si="48"/>
        <v>22.03195661</v>
      </c>
      <c r="F465" s="61" t="s">
        <v>34</v>
      </c>
      <c r="G465" s="62">
        <f t="shared" si="47"/>
        <v>1.653</v>
      </c>
      <c r="H465" s="63" t="s">
        <v>2421</v>
      </c>
      <c r="I465" s="61" t="s">
        <v>52</v>
      </c>
      <c r="J465" s="61">
        <f t="shared" si="23"/>
        <v>1.653</v>
      </c>
      <c r="K465" s="61">
        <v>1.74</v>
      </c>
      <c r="L465" s="59" t="s">
        <v>1366</v>
      </c>
      <c r="M465" s="65">
        <v>425.0</v>
      </c>
      <c r="N465" s="65" t="s">
        <v>2382</v>
      </c>
      <c r="O465" s="66" t="s">
        <v>90</v>
      </c>
      <c r="P465" s="65">
        <v>11.0</v>
      </c>
      <c r="Q465" s="65"/>
      <c r="R465" s="67">
        <f t="array" ref="R465">INDIRECT("'renta'!G$"&amp;MATCH(O465,renta!$A:$A,0))*P465</f>
        <v>99000</v>
      </c>
      <c r="S465" s="68">
        <f t="shared" si="50"/>
        <v>423796.1509</v>
      </c>
      <c r="T465" s="69" t="str">
        <f t="shared" si="25"/>
        <v>ACID</v>
      </c>
      <c r="U465" s="70">
        <f t="shared" si="5"/>
        <v>0.1225641223</v>
      </c>
      <c r="V465" s="71">
        <v>298.0</v>
      </c>
      <c r="W465" s="72">
        <f t="shared" si="6"/>
        <v>0.3696637015</v>
      </c>
      <c r="X465" s="72"/>
      <c r="Y465" s="71">
        <v>0.0</v>
      </c>
      <c r="Z465" s="60">
        <v>-0.20833333333333334</v>
      </c>
      <c r="AA465" s="73">
        <v>0.5</v>
      </c>
      <c r="AB465" s="74" t="s">
        <v>2422</v>
      </c>
      <c r="AC465" s="75" t="s">
        <v>2055</v>
      </c>
      <c r="AD465" s="74" t="s">
        <v>2422</v>
      </c>
      <c r="AE465" s="75" t="s">
        <v>2055</v>
      </c>
      <c r="AF465" s="61" t="s">
        <v>806</v>
      </c>
      <c r="AG465" s="61" t="s">
        <v>2423</v>
      </c>
      <c r="AH465" s="86">
        <v>9.0</v>
      </c>
      <c r="AI465" s="60"/>
    </row>
    <row r="466">
      <c r="A466" s="88"/>
      <c r="B466" s="89"/>
      <c r="C466" s="90"/>
      <c r="D466" s="40" t="str">
        <f t="array" ref="D466">IFERROR(INDIRECT("'renta'!G$"&amp;MATCH(T466,renta!$A:$A,0))*0.975-(G466*INDIRECT("'renta'!G$"&amp;MATCH(F466,renta!$A:$A,0)))/B466-IFERROR((J466*INDIRECT("'renta'!G$"&amp;MATCH(I466,renta!$A:$A,0)))/B466,0),)</f>
        <v/>
      </c>
      <c r="E466" s="41">
        <f t="shared" si="48"/>
        <v>0</v>
      </c>
      <c r="F466" s="79"/>
      <c r="G466" s="43">
        <f t="shared" si="47"/>
        <v>0</v>
      </c>
      <c r="H466" s="91"/>
      <c r="I466" s="79"/>
      <c r="J466" s="40">
        <f t="shared" si="23"/>
        <v>0</v>
      </c>
      <c r="K466" s="79"/>
      <c r="L466" s="92"/>
      <c r="M466" s="93"/>
      <c r="N466" s="93"/>
      <c r="O466" s="45"/>
      <c r="P466" s="93"/>
      <c r="Q466" s="93"/>
      <c r="R466" s="47"/>
      <c r="S466" s="48"/>
      <c r="T466" s="49" t="str">
        <f t="shared" si="25"/>
        <v/>
      </c>
      <c r="U466" s="50" t="str">
        <f t="shared" si="5"/>
        <v>#DIV/0!</v>
      </c>
      <c r="V466" s="94"/>
      <c r="W466" s="52" t="str">
        <f t="shared" si="6"/>
        <v/>
      </c>
      <c r="X466" s="52"/>
      <c r="Y466" s="94"/>
      <c r="Z466" s="90"/>
      <c r="AA466" s="95"/>
      <c r="AB466" s="50"/>
      <c r="AC466" s="83"/>
      <c r="AD466" s="50"/>
      <c r="AE466" s="83"/>
      <c r="AF466" s="79"/>
      <c r="AG466" s="79"/>
      <c r="AH466" s="84"/>
      <c r="AI466" s="90"/>
    </row>
    <row r="467">
      <c r="A467" s="58" t="s">
        <v>2424</v>
      </c>
      <c r="B467" s="59">
        <v>1.0</v>
      </c>
      <c r="C467" s="60">
        <v>5.0</v>
      </c>
      <c r="D467" s="61">
        <f t="array" ref="D467">IFERROR(INDIRECT("'renta'!G$"&amp;MATCH(T467,renta!$A:$A,0))*0.975-(G467*INDIRECT("'renta'!G$"&amp;MATCH(F467,renta!$A:$A,0)))/B467-IFERROR((J467*INDIRECT("'renta'!G$"&amp;MATCH(I467,renta!$A:$A,0)))/B467,0),)</f>
        <v>-200.725</v>
      </c>
      <c r="E467" s="41">
        <f t="shared" si="48"/>
        <v>-3.345416667</v>
      </c>
      <c r="F467" s="61" t="s">
        <v>30</v>
      </c>
      <c r="G467" s="62">
        <f t="shared" si="47"/>
        <v>7.6</v>
      </c>
      <c r="H467" s="63" t="s">
        <v>981</v>
      </c>
      <c r="I467" s="61" t="s">
        <v>62</v>
      </c>
      <c r="J467" s="61">
        <f t="shared" si="23"/>
        <v>9.5</v>
      </c>
      <c r="K467" s="61">
        <v>10.0</v>
      </c>
      <c r="L467" s="59" t="s">
        <v>137</v>
      </c>
      <c r="M467" s="65">
        <v>500.0</v>
      </c>
      <c r="N467" s="65" t="s">
        <v>2425</v>
      </c>
      <c r="O467" s="66" t="s">
        <v>12</v>
      </c>
      <c r="P467" s="65">
        <v>1.0</v>
      </c>
      <c r="Q467" s="65"/>
      <c r="R467" s="67">
        <f t="array" ref="R467">INDIRECT("'renta'!G$"&amp;MATCH(O467,renta!$A:$A,0))*P467</f>
        <v>0.0041</v>
      </c>
      <c r="S467" s="68">
        <f t="shared" ref="S467:S476" si="51">SUM(R$467:R467)</f>
        <v>0.0041</v>
      </c>
      <c r="T467" s="69" t="str">
        <f t="shared" si="25"/>
        <v>SULFUR</v>
      </c>
      <c r="U467" s="70">
        <f t="shared" si="5"/>
        <v>-815955.2846</v>
      </c>
      <c r="V467" s="71"/>
      <c r="W467" s="72" t="str">
        <f t="shared" si="6"/>
        <v/>
      </c>
      <c r="X467" s="72"/>
      <c r="Y467" s="71">
        <v>0.0</v>
      </c>
      <c r="Z467" s="60">
        <v>0.0</v>
      </c>
      <c r="AA467" s="73">
        <v>0.0</v>
      </c>
      <c r="AB467" s="74" t="s">
        <v>1899</v>
      </c>
      <c r="AC467" s="75" t="s">
        <v>147</v>
      </c>
      <c r="AD467" s="74" t="s">
        <v>147</v>
      </c>
      <c r="AE467" s="75" t="s">
        <v>2055</v>
      </c>
      <c r="AF467" s="61" t="s">
        <v>806</v>
      </c>
      <c r="AG467" s="61" t="s">
        <v>1948</v>
      </c>
      <c r="AH467" s="86">
        <v>9.0</v>
      </c>
      <c r="AI467" s="60"/>
    </row>
    <row r="468">
      <c r="A468" s="78" t="s">
        <v>69</v>
      </c>
      <c r="B468" s="38">
        <v>1.0</v>
      </c>
      <c r="C468" s="39">
        <v>3.5</v>
      </c>
      <c r="D468" s="40">
        <f t="array" ref="D468">IFERROR(INDIRECT("'renta'!G$"&amp;MATCH(T468,renta!$A:$A,0))*0.975-(G468*INDIRECT("'renta'!G$"&amp;MATCH(F468,renta!$A:$A,0)))/B468-IFERROR((J468*INDIRECT("'renta'!G$"&amp;MATCH(I468,renta!$A:$A,0)))/B468,0),)</f>
        <v>-170.2015</v>
      </c>
      <c r="E468" s="41">
        <f t="shared" si="48"/>
        <v>-4.052416667</v>
      </c>
      <c r="F468" s="40" t="s">
        <v>30</v>
      </c>
      <c r="G468" s="43">
        <f t="shared" si="47"/>
        <v>7.5145</v>
      </c>
      <c r="H468" s="44" t="s">
        <v>2426</v>
      </c>
      <c r="I468" s="40" t="s">
        <v>62</v>
      </c>
      <c r="J468" s="40">
        <f t="shared" si="23"/>
        <v>9.386</v>
      </c>
      <c r="K468" s="40">
        <v>9.88</v>
      </c>
      <c r="L468" s="38" t="s">
        <v>2339</v>
      </c>
      <c r="M468" s="46">
        <v>500.0</v>
      </c>
      <c r="N468" s="46" t="s">
        <v>2425</v>
      </c>
      <c r="O468" s="42" t="s">
        <v>34</v>
      </c>
      <c r="P468" s="46">
        <v>10.0</v>
      </c>
      <c r="Q468" s="46"/>
      <c r="R468" s="47">
        <f t="array" ref="R468">INDIRECT("'renta'!G$"&amp;MATCH(O468,renta!$A:$A,0))*P468</f>
        <v>1326.82153</v>
      </c>
      <c r="S468" s="48">
        <f t="shared" si="51"/>
        <v>1326.82563</v>
      </c>
      <c r="T468" s="49" t="str">
        <f t="shared" si="25"/>
        <v>SULFUR</v>
      </c>
      <c r="U468" s="50">
        <f t="shared" si="5"/>
        <v>-0.5328523723</v>
      </c>
      <c r="V468" s="80">
        <v>350.0</v>
      </c>
      <c r="W468" s="52">
        <f t="shared" si="6"/>
        <v>-0.48629</v>
      </c>
      <c r="X468" s="52"/>
      <c r="Y468" s="80">
        <v>0.0</v>
      </c>
      <c r="Z468" s="39">
        <v>-1.5</v>
      </c>
      <c r="AA468" s="81" t="s">
        <v>2427</v>
      </c>
      <c r="AB468" s="82" t="s">
        <v>2428</v>
      </c>
      <c r="AC468" s="54" t="s">
        <v>2144</v>
      </c>
      <c r="AD468" s="82" t="s">
        <v>2429</v>
      </c>
      <c r="AE468" s="54" t="s">
        <v>2430</v>
      </c>
      <c r="AF468" s="40" t="s">
        <v>806</v>
      </c>
      <c r="AG468" s="40" t="s">
        <v>2431</v>
      </c>
      <c r="AH468" s="87">
        <v>9.0</v>
      </c>
      <c r="AI468" s="39"/>
    </row>
    <row r="469">
      <c r="A469" s="58" t="s">
        <v>2432</v>
      </c>
      <c r="B469" s="59">
        <v>1.0</v>
      </c>
      <c r="C469" s="60">
        <v>2.75</v>
      </c>
      <c r="D469" s="61">
        <f t="array" ref="D469">IFERROR(INDIRECT("'renta'!G$"&amp;MATCH(T469,renta!$A:$A,0))*0.975-(G469*INDIRECT("'renta'!G$"&amp;MATCH(F469,renta!$A:$A,0)))/B469-IFERROR((J469*INDIRECT("'renta'!G$"&amp;MATCH(I469,renta!$A:$A,0)))/B469,0),)</f>
        <v>-139.3265</v>
      </c>
      <c r="E469" s="41">
        <f t="shared" si="48"/>
        <v>-4.222015152</v>
      </c>
      <c r="F469" s="61" t="s">
        <v>30</v>
      </c>
      <c r="G469" s="62">
        <f t="shared" si="47"/>
        <v>7.4195</v>
      </c>
      <c r="H469" s="63" t="s">
        <v>2433</v>
      </c>
      <c r="I469" s="61" t="s">
        <v>62</v>
      </c>
      <c r="J469" s="61">
        <f t="shared" si="23"/>
        <v>9.272</v>
      </c>
      <c r="K469" s="61">
        <v>9.76</v>
      </c>
      <c r="L469" s="59" t="s">
        <v>2345</v>
      </c>
      <c r="M469" s="65">
        <v>500.0</v>
      </c>
      <c r="N469" s="65" t="s">
        <v>2425</v>
      </c>
      <c r="O469" s="66" t="s">
        <v>65</v>
      </c>
      <c r="P469" s="65">
        <v>38.0</v>
      </c>
      <c r="Q469" s="65"/>
      <c r="R469" s="67">
        <f t="array" ref="R469">INDIRECT("'renta'!G$"&amp;MATCH(O469,renta!$A:$A,0))*P469</f>
        <v>16626.93072</v>
      </c>
      <c r="S469" s="68">
        <f t="shared" si="51"/>
        <v>17953.75635</v>
      </c>
      <c r="T469" s="69" t="str">
        <f t="shared" si="25"/>
        <v>SULFUR</v>
      </c>
      <c r="U469" s="109">
        <f t="shared" si="5"/>
        <v>-0.01020022803</v>
      </c>
      <c r="V469" s="71">
        <v>350.0</v>
      </c>
      <c r="W469" s="72">
        <f t="shared" si="6"/>
        <v>-0.3980757143</v>
      </c>
      <c r="X469" s="72"/>
      <c r="Y469" s="71">
        <v>0.0</v>
      </c>
      <c r="Z469" s="60">
        <v>-0.75</v>
      </c>
      <c r="AA469" s="85" t="s">
        <v>2434</v>
      </c>
      <c r="AB469" s="74" t="s">
        <v>2174</v>
      </c>
      <c r="AC469" s="75" t="s">
        <v>1906</v>
      </c>
      <c r="AD469" s="74" t="s">
        <v>2435</v>
      </c>
      <c r="AE469" s="75" t="s">
        <v>2080</v>
      </c>
      <c r="AF469" s="61" t="s">
        <v>806</v>
      </c>
      <c r="AG469" s="61" t="s">
        <v>2436</v>
      </c>
      <c r="AH469" s="86">
        <v>9.0</v>
      </c>
      <c r="AI469" s="60"/>
    </row>
    <row r="470">
      <c r="A470" s="78" t="s">
        <v>2437</v>
      </c>
      <c r="B470" s="38">
        <v>1.0</v>
      </c>
      <c r="C470" s="39">
        <v>2.25</v>
      </c>
      <c r="D470" s="40">
        <f t="array" ref="D470">IFERROR(INDIRECT("'renta'!G$"&amp;MATCH(T470,renta!$A:$A,0))*0.975-(G470*INDIRECT("'renta'!G$"&amp;MATCH(F470,renta!$A:$A,0)))/B470-IFERROR((J470*INDIRECT("'renta'!G$"&amp;MATCH(I470,renta!$A:$A,0)))/B470,0),)</f>
        <v>-105.82</v>
      </c>
      <c r="E470" s="41">
        <f t="shared" si="48"/>
        <v>-3.919259259</v>
      </c>
      <c r="F470" s="40" t="s">
        <v>30</v>
      </c>
      <c r="G470" s="43">
        <f t="shared" si="47"/>
        <v>7.315</v>
      </c>
      <c r="H470" s="44" t="s">
        <v>2438</v>
      </c>
      <c r="I470" s="40" t="s">
        <v>62</v>
      </c>
      <c r="J470" s="40">
        <f t="shared" si="23"/>
        <v>9.1485</v>
      </c>
      <c r="K470" s="40">
        <v>9.63</v>
      </c>
      <c r="L470" s="38" t="s">
        <v>2350</v>
      </c>
      <c r="M470" s="46">
        <v>500.0</v>
      </c>
      <c r="N470" s="46" t="s">
        <v>2425</v>
      </c>
      <c r="O470" s="42" t="s">
        <v>65</v>
      </c>
      <c r="P470" s="46">
        <v>57.0</v>
      </c>
      <c r="Q470" s="46"/>
      <c r="R470" s="47">
        <f t="array" ref="R470">INDIRECT("'renta'!G$"&amp;MATCH(O470,renta!$A:$A,0))*P470</f>
        <v>24940.39608</v>
      </c>
      <c r="S470" s="48">
        <f t="shared" si="51"/>
        <v>42894.15243</v>
      </c>
      <c r="T470" s="49" t="str">
        <f t="shared" si="25"/>
        <v>SULFUR</v>
      </c>
      <c r="U470" s="50">
        <f t="shared" si="5"/>
        <v>0.01213917739</v>
      </c>
      <c r="V470" s="80">
        <v>350.0</v>
      </c>
      <c r="W470" s="52">
        <f t="shared" si="6"/>
        <v>-0.3023428571</v>
      </c>
      <c r="X470" s="52"/>
      <c r="Y470" s="80">
        <v>0.0</v>
      </c>
      <c r="Z470" s="39">
        <v>-0.5</v>
      </c>
      <c r="AA470" s="81" t="s">
        <v>2028</v>
      </c>
      <c r="AB470" s="82" t="s">
        <v>2439</v>
      </c>
      <c r="AC470" s="54" t="s">
        <v>2083</v>
      </c>
      <c r="AD470" s="82" t="s">
        <v>2440</v>
      </c>
      <c r="AE470" s="54" t="s">
        <v>2088</v>
      </c>
      <c r="AF470" s="40" t="s">
        <v>806</v>
      </c>
      <c r="AG470" s="40" t="s">
        <v>2298</v>
      </c>
      <c r="AH470" s="87">
        <v>9.0</v>
      </c>
      <c r="AI470" s="39"/>
    </row>
    <row r="471">
      <c r="A471" s="58" t="s">
        <v>2441</v>
      </c>
      <c r="B471" s="59">
        <v>1.0</v>
      </c>
      <c r="C471" s="60">
        <v>1.8333333333333333</v>
      </c>
      <c r="D471" s="61">
        <f t="array" ref="D471">IFERROR(INDIRECT("'renta'!G$"&amp;MATCH(T471,renta!$A:$A,0))*0.975-(G471*INDIRECT("'renta'!G$"&amp;MATCH(F471,renta!$A:$A,0)))/B471-IFERROR((J471*INDIRECT("'renta'!G$"&amp;MATCH(I471,renta!$A:$A,0)))/B471,0),)</f>
        <v>-70.0335</v>
      </c>
      <c r="E471" s="41">
        <f t="shared" si="48"/>
        <v>-3.183340909</v>
      </c>
      <c r="F471" s="61" t="s">
        <v>30</v>
      </c>
      <c r="G471" s="62">
        <f t="shared" si="47"/>
        <v>7.2105</v>
      </c>
      <c r="H471" s="63" t="s">
        <v>2442</v>
      </c>
      <c r="I471" s="61" t="s">
        <v>62</v>
      </c>
      <c r="J471" s="61">
        <f t="shared" si="23"/>
        <v>9.0155</v>
      </c>
      <c r="K471" s="61">
        <v>9.49</v>
      </c>
      <c r="L471" s="59" t="s">
        <v>2355</v>
      </c>
      <c r="M471" s="65">
        <v>500.0</v>
      </c>
      <c r="N471" s="65" t="s">
        <v>2425</v>
      </c>
      <c r="O471" s="66" t="s">
        <v>65</v>
      </c>
      <c r="P471" s="65">
        <v>82.0</v>
      </c>
      <c r="Q471" s="65"/>
      <c r="R471" s="67">
        <f t="array" ref="R471">INDIRECT("'renta'!G$"&amp;MATCH(O471,renta!$A:$A,0))*P471</f>
        <v>35879.16629</v>
      </c>
      <c r="S471" s="68">
        <f t="shared" si="51"/>
        <v>78773.31873</v>
      </c>
      <c r="T471" s="69" t="str">
        <f t="shared" si="25"/>
        <v>SULFUR</v>
      </c>
      <c r="U471" s="70">
        <f t="shared" si="5"/>
        <v>0.02051102147</v>
      </c>
      <c r="V471" s="71">
        <v>350.0</v>
      </c>
      <c r="W471" s="72">
        <f t="shared" si="6"/>
        <v>-0.2000957143</v>
      </c>
      <c r="X471" s="72"/>
      <c r="Y471" s="71">
        <v>0.0</v>
      </c>
      <c r="Z471" s="60">
        <v>-0.4166666666666667</v>
      </c>
      <c r="AA471" s="85" t="s">
        <v>2443</v>
      </c>
      <c r="AB471" s="74" t="s">
        <v>2444</v>
      </c>
      <c r="AC471" s="75" t="s">
        <v>2166</v>
      </c>
      <c r="AD471" s="74" t="s">
        <v>2445</v>
      </c>
      <c r="AE471" s="75" t="s">
        <v>1246</v>
      </c>
      <c r="AF471" s="61" t="s">
        <v>806</v>
      </c>
      <c r="AG471" s="61" t="s">
        <v>2446</v>
      </c>
      <c r="AH471" s="86">
        <v>9.0</v>
      </c>
      <c r="AI471" s="60"/>
    </row>
    <row r="472">
      <c r="A472" s="78" t="s">
        <v>2447</v>
      </c>
      <c r="B472" s="38">
        <v>1.0</v>
      </c>
      <c r="C472" s="39">
        <v>1.5</v>
      </c>
      <c r="D472" s="40">
        <f t="array" ref="D472">IFERROR(INDIRECT("'renta'!G$"&amp;MATCH(T472,renta!$A:$A,0))*0.975-(G472*INDIRECT("'renta'!G$"&amp;MATCH(F472,renta!$A:$A,0)))/B472-IFERROR((J472*INDIRECT("'renta'!G$"&amp;MATCH(I472,renta!$A:$A,0)))/B472,0),)</f>
        <v>-34.247</v>
      </c>
      <c r="E472" s="41">
        <f t="shared" si="48"/>
        <v>-1.902611111</v>
      </c>
      <c r="F472" s="40" t="s">
        <v>30</v>
      </c>
      <c r="G472" s="43">
        <f t="shared" si="47"/>
        <v>7.106</v>
      </c>
      <c r="H472" s="44" t="s">
        <v>2448</v>
      </c>
      <c r="I472" s="40" t="s">
        <v>62</v>
      </c>
      <c r="J472" s="40">
        <f t="shared" si="23"/>
        <v>8.8825</v>
      </c>
      <c r="K472" s="40">
        <v>9.35</v>
      </c>
      <c r="L472" s="38" t="s">
        <v>2360</v>
      </c>
      <c r="M472" s="46">
        <v>500.0</v>
      </c>
      <c r="N472" s="46" t="s">
        <v>2425</v>
      </c>
      <c r="O472" s="42" t="s">
        <v>68</v>
      </c>
      <c r="P472" s="46">
        <v>17.0</v>
      </c>
      <c r="Q472" s="46"/>
      <c r="R472" s="47">
        <f t="array" ref="R472">INDIRECT("'renta'!G$"&amp;MATCH(O472,renta!$A:$A,0))*P472</f>
        <v>41157</v>
      </c>
      <c r="S472" s="48">
        <f t="shared" si="51"/>
        <v>119930.3187</v>
      </c>
      <c r="T472" s="49" t="str">
        <f t="shared" si="25"/>
        <v>SULFUR</v>
      </c>
      <c r="U472" s="50">
        <f t="shared" si="5"/>
        <v>0.03111815239</v>
      </c>
      <c r="V472" s="80">
        <v>350.0</v>
      </c>
      <c r="W472" s="52">
        <f t="shared" si="6"/>
        <v>-0.09784857143</v>
      </c>
      <c r="X472" s="52"/>
      <c r="Y472" s="80">
        <v>0.0</v>
      </c>
      <c r="Z472" s="39">
        <v>-0.3333333333333333</v>
      </c>
      <c r="AA472" s="81" t="s">
        <v>2028</v>
      </c>
      <c r="AB472" s="82" t="s">
        <v>2449</v>
      </c>
      <c r="AC472" s="54" t="s">
        <v>2174</v>
      </c>
      <c r="AD472" s="82" t="s">
        <v>2450</v>
      </c>
      <c r="AE472" s="54" t="s">
        <v>1738</v>
      </c>
      <c r="AF472" s="40" t="s">
        <v>806</v>
      </c>
      <c r="AG472" s="40" t="s">
        <v>2451</v>
      </c>
      <c r="AH472" s="87">
        <v>9.0</v>
      </c>
      <c r="AI472" s="39"/>
    </row>
    <row r="473">
      <c r="A473" s="58" t="s">
        <v>2452</v>
      </c>
      <c r="B473" s="59">
        <v>1.0</v>
      </c>
      <c r="C473" s="60">
        <v>1.1666666666666667</v>
      </c>
      <c r="D473" s="61">
        <f t="array" ref="D473">IFERROR(INDIRECT("'renta'!G$"&amp;MATCH(T473,renta!$A:$A,0))*0.975-(G473*INDIRECT("'renta'!G$"&amp;MATCH(F473,renta!$A:$A,0)))/B473-IFERROR((J473*INDIRECT("'renta'!G$"&amp;MATCH(I473,renta!$A:$A,0)))/B473,0),)</f>
        <v>6.451</v>
      </c>
      <c r="E473" s="41">
        <f t="shared" si="48"/>
        <v>0.4607857143</v>
      </c>
      <c r="F473" s="61" t="s">
        <v>30</v>
      </c>
      <c r="G473" s="62">
        <f t="shared" si="47"/>
        <v>6.992</v>
      </c>
      <c r="H473" s="63" t="s">
        <v>2453</v>
      </c>
      <c r="I473" s="61" t="s">
        <v>62</v>
      </c>
      <c r="J473" s="61">
        <f t="shared" si="23"/>
        <v>8.7305</v>
      </c>
      <c r="K473" s="61">
        <v>9.19</v>
      </c>
      <c r="L473" s="59" t="s">
        <v>2365</v>
      </c>
      <c r="M473" s="65">
        <v>500.0</v>
      </c>
      <c r="N473" s="65" t="s">
        <v>2425</v>
      </c>
      <c r="O473" s="66" t="s">
        <v>68</v>
      </c>
      <c r="P473" s="65">
        <v>25.0</v>
      </c>
      <c r="Q473" s="65"/>
      <c r="R473" s="67">
        <f t="array" ref="R473">INDIRECT("'renta'!G$"&amp;MATCH(O473,renta!$A:$A,0))*P473</f>
        <v>60525</v>
      </c>
      <c r="S473" s="68">
        <f t="shared" si="51"/>
        <v>180455.3187</v>
      </c>
      <c r="T473" s="69" t="str">
        <f t="shared" si="25"/>
        <v>SULFUR</v>
      </c>
      <c r="U473" s="70">
        <f t="shared" si="5"/>
        <v>0.03904827469</v>
      </c>
      <c r="V473" s="71">
        <v>350.0</v>
      </c>
      <c r="W473" s="72">
        <f t="shared" si="6"/>
        <v>0.01843142857</v>
      </c>
      <c r="X473" s="72"/>
      <c r="Y473" s="71">
        <v>0.0</v>
      </c>
      <c r="Z473" s="60">
        <v>-0.3333333333333333</v>
      </c>
      <c r="AA473" s="85" t="s">
        <v>2346</v>
      </c>
      <c r="AB473" s="74" t="s">
        <v>2454</v>
      </c>
      <c r="AC473" s="75" t="s">
        <v>2188</v>
      </c>
      <c r="AD473" s="74" t="s">
        <v>2455</v>
      </c>
      <c r="AE473" s="75" t="s">
        <v>1748</v>
      </c>
      <c r="AF473" s="61" t="s">
        <v>806</v>
      </c>
      <c r="AG473" s="61" t="s">
        <v>2456</v>
      </c>
      <c r="AH473" s="86">
        <v>9.0</v>
      </c>
      <c r="AI473" s="60"/>
    </row>
    <row r="474">
      <c r="A474" s="78" t="s">
        <v>2457</v>
      </c>
      <c r="B474" s="38">
        <v>1.0</v>
      </c>
      <c r="C474" s="39">
        <v>0.875</v>
      </c>
      <c r="D474" s="40">
        <f t="array" ref="D474">IFERROR(INDIRECT("'renta'!G$"&amp;MATCH(T474,renta!$A:$A,0))*0.975-(G474*INDIRECT("'renta'!G$"&amp;MATCH(F474,renta!$A:$A,0)))/B474-IFERROR((J474*INDIRECT("'renta'!G$"&amp;MATCH(I474,renta!$A:$A,0)))/B474,0),)</f>
        <v>45.2205</v>
      </c>
      <c r="E474" s="41">
        <f t="shared" si="48"/>
        <v>4.306714286</v>
      </c>
      <c r="F474" s="40" t="s">
        <v>30</v>
      </c>
      <c r="G474" s="43">
        <f t="shared" si="47"/>
        <v>6.8685</v>
      </c>
      <c r="H474" s="44" t="s">
        <v>2458</v>
      </c>
      <c r="I474" s="40" t="s">
        <v>62</v>
      </c>
      <c r="J474" s="40">
        <f t="shared" si="23"/>
        <v>8.588</v>
      </c>
      <c r="K474" s="38">
        <v>9.04</v>
      </c>
      <c r="L474" s="38" t="s">
        <v>2370</v>
      </c>
      <c r="M474" s="46">
        <v>500.0</v>
      </c>
      <c r="N474" s="46" t="s">
        <v>2425</v>
      </c>
      <c r="O474" s="42" t="s">
        <v>68</v>
      </c>
      <c r="P474" s="46">
        <v>34.0</v>
      </c>
      <c r="Q474" s="46"/>
      <c r="R474" s="47">
        <f t="array" ref="R474">INDIRECT("'renta'!G$"&amp;MATCH(O474,renta!$A:$A,0))*P474</f>
        <v>82314</v>
      </c>
      <c r="S474" s="48">
        <f t="shared" si="51"/>
        <v>262769.3187</v>
      </c>
      <c r="T474" s="49" t="str">
        <f t="shared" si="25"/>
        <v>SULFUR</v>
      </c>
      <c r="U474" s="50">
        <f t="shared" si="5"/>
        <v>0.04672265437</v>
      </c>
      <c r="V474" s="80">
        <v>350.0</v>
      </c>
      <c r="W474" s="52">
        <f t="shared" si="6"/>
        <v>0.1292014286</v>
      </c>
      <c r="X474" s="52"/>
      <c r="Y474" s="80">
        <v>0.0</v>
      </c>
      <c r="Z474" s="39">
        <v>-0.2916666666666667</v>
      </c>
      <c r="AA474" s="81" t="s">
        <v>1465</v>
      </c>
      <c r="AB474" s="82" t="s">
        <v>2459</v>
      </c>
      <c r="AC474" s="54" t="s">
        <v>2195</v>
      </c>
      <c r="AD474" s="82" t="s">
        <v>2460</v>
      </c>
      <c r="AE474" s="54" t="s">
        <v>1756</v>
      </c>
      <c r="AF474" s="40" t="s">
        <v>806</v>
      </c>
      <c r="AG474" s="40" t="s">
        <v>2461</v>
      </c>
      <c r="AH474" s="87">
        <v>9.0</v>
      </c>
      <c r="AI474" s="39"/>
    </row>
    <row r="475">
      <c r="A475" s="58" t="s">
        <v>2462</v>
      </c>
      <c r="B475" s="59">
        <v>1.0</v>
      </c>
      <c r="C475" s="60">
        <v>0.625</v>
      </c>
      <c r="D475" s="61">
        <f t="array" ref="D475">IFERROR(INDIRECT("'renta'!G$"&amp;MATCH(T475,renta!$A:$A,0))*0.975-(G475*INDIRECT("'renta'!G$"&amp;MATCH(F475,renta!$A:$A,0)))/B475-IFERROR((J475*INDIRECT("'renta'!G$"&amp;MATCH(I475,renta!$A:$A,0)))/B475,0),)</f>
        <v>88.365</v>
      </c>
      <c r="E475" s="41">
        <v>0.0</v>
      </c>
      <c r="F475" s="61" t="s">
        <v>30</v>
      </c>
      <c r="G475" s="62">
        <v>6.75</v>
      </c>
      <c r="H475" s="63" t="s">
        <v>2463</v>
      </c>
      <c r="I475" s="61" t="s">
        <v>62</v>
      </c>
      <c r="J475" s="61">
        <f t="shared" si="23"/>
        <v>8.4265</v>
      </c>
      <c r="K475" s="61">
        <v>8.87</v>
      </c>
      <c r="L475" s="59" t="s">
        <v>2375</v>
      </c>
      <c r="M475" s="65">
        <v>500.0</v>
      </c>
      <c r="N475" s="65" t="s">
        <v>2425</v>
      </c>
      <c r="O475" s="66" t="s">
        <v>72</v>
      </c>
      <c r="P475" s="65">
        <v>14.0</v>
      </c>
      <c r="Q475" s="65"/>
      <c r="R475" s="67">
        <f t="array" ref="R475">INDIRECT("'renta'!G$"&amp;MATCH(O475,renta!$A:$A,0))*P475</f>
        <v>118020</v>
      </c>
      <c r="S475" s="68">
        <f t="shared" si="51"/>
        <v>380789.3187</v>
      </c>
      <c r="T475" s="69" t="str">
        <f t="shared" si="25"/>
        <v>SULFUR</v>
      </c>
      <c r="U475" s="70">
        <f t="shared" si="5"/>
        <v>-0.03649139371</v>
      </c>
      <c r="V475" s="71">
        <v>350.0</v>
      </c>
      <c r="W475" s="72">
        <f t="shared" si="6"/>
        <v>0.2524714286</v>
      </c>
      <c r="X475" s="72"/>
      <c r="Y475" s="71">
        <v>0.0</v>
      </c>
      <c r="Z475" s="60">
        <v>-0.25</v>
      </c>
      <c r="AA475" s="73">
        <v>0.4</v>
      </c>
      <c r="AB475" s="74" t="s">
        <v>1633</v>
      </c>
      <c r="AC475" s="75" t="s">
        <v>2055</v>
      </c>
      <c r="AD475" s="74" t="s">
        <v>2464</v>
      </c>
      <c r="AE475" s="75" t="s">
        <v>1258</v>
      </c>
      <c r="AF475" s="61" t="s">
        <v>806</v>
      </c>
      <c r="AG475" s="61" t="s">
        <v>2465</v>
      </c>
      <c r="AH475" s="86">
        <v>9.0</v>
      </c>
      <c r="AI475" s="60"/>
    </row>
    <row r="476">
      <c r="A476" s="78" t="s">
        <v>2466</v>
      </c>
      <c r="B476" s="38">
        <v>1.0</v>
      </c>
      <c r="C476" s="39">
        <v>0.4166666666666667</v>
      </c>
      <c r="D476" s="40">
        <f t="array" ref="D476">IFERROR(INDIRECT("'renta'!G$"&amp;MATCH(T476,renta!$A:$A,0))*0.975-(G476*INDIRECT("'renta'!G$"&amp;MATCH(F476,renta!$A:$A,0)))/B476-IFERROR((J476*INDIRECT("'renta'!G$"&amp;MATCH(I476,renta!$A:$A,0)))/B476,0),)</f>
        <v>132.231</v>
      </c>
      <c r="E476" s="41">
        <v>0.0</v>
      </c>
      <c r="F476" s="40" t="s">
        <v>30</v>
      </c>
      <c r="G476" s="43">
        <f t="shared" ref="G476:G477" si="52">H476*0.95</f>
        <v>6.612</v>
      </c>
      <c r="H476" s="44" t="s">
        <v>2467</v>
      </c>
      <c r="I476" s="40" t="s">
        <v>62</v>
      </c>
      <c r="J476" s="40">
        <f t="shared" si="23"/>
        <v>8.265</v>
      </c>
      <c r="K476" s="40">
        <v>8.7</v>
      </c>
      <c r="L476" s="38" t="s">
        <v>1366</v>
      </c>
      <c r="M476" s="46">
        <v>500.0</v>
      </c>
      <c r="N476" s="46" t="s">
        <v>2425</v>
      </c>
      <c r="O476" s="42" t="s">
        <v>72</v>
      </c>
      <c r="P476" s="46">
        <v>19.0</v>
      </c>
      <c r="Q476" s="46"/>
      <c r="R476" s="47">
        <f t="array" ref="R476">INDIRECT("'renta'!G$"&amp;MATCH(O476,renta!$A:$A,0))*P476</f>
        <v>160170</v>
      </c>
      <c r="S476" s="48">
        <f t="shared" si="51"/>
        <v>540959.3187</v>
      </c>
      <c r="T476" s="49" t="str">
        <f t="shared" si="25"/>
        <v>SULFUR</v>
      </c>
      <c r="U476" s="50">
        <f t="shared" si="5"/>
        <v>0</v>
      </c>
      <c r="V476" s="80">
        <v>350.0</v>
      </c>
      <c r="W476" s="52">
        <f t="shared" si="6"/>
        <v>0.3778028571</v>
      </c>
      <c r="X476" s="52"/>
      <c r="Y476" s="80">
        <v>0.0</v>
      </c>
      <c r="Z476" s="39">
        <v>-0.20833333333333334</v>
      </c>
      <c r="AA476" s="53">
        <v>0.5</v>
      </c>
      <c r="AB476" s="82" t="s">
        <v>2468</v>
      </c>
      <c r="AC476" s="54" t="s">
        <v>2055</v>
      </c>
      <c r="AD476" s="82" t="s">
        <v>2469</v>
      </c>
      <c r="AE476" s="54" t="s">
        <v>1258</v>
      </c>
      <c r="AF476" s="40" t="s">
        <v>806</v>
      </c>
      <c r="AG476" s="40" t="s">
        <v>2470</v>
      </c>
      <c r="AH476" s="87">
        <v>9.0</v>
      </c>
      <c r="AI476" s="39"/>
    </row>
    <row r="477">
      <c r="A477" s="96"/>
      <c r="B477" s="97"/>
      <c r="C477" s="98"/>
      <c r="D477" s="61" t="str">
        <f t="array" ref="D477">IFERROR(INDIRECT("'renta'!G$"&amp;MATCH(T477,renta!$A:$A,0))*0.975-(G477*INDIRECT("'renta'!G$"&amp;MATCH(F477,renta!$A:$A,0)))/B477-IFERROR((J477*INDIRECT("'renta'!G$"&amp;MATCH(I477,renta!$A:$A,0)))/B477,0),)</f>
        <v/>
      </c>
      <c r="E477" s="41">
        <f t="shared" ref="E477:E495" si="53">IFERROR( D477/C477/24*B477*2*(1+AI477),0)</f>
        <v>0</v>
      </c>
      <c r="F477" s="64"/>
      <c r="G477" s="62">
        <f t="shared" si="52"/>
        <v>0</v>
      </c>
      <c r="H477" s="99"/>
      <c r="I477" s="64"/>
      <c r="J477" s="61">
        <f t="shared" si="23"/>
        <v>0</v>
      </c>
      <c r="K477" s="64"/>
      <c r="L477" s="100"/>
      <c r="M477" s="101"/>
      <c r="N477" s="101"/>
      <c r="O477" s="102"/>
      <c r="P477" s="101"/>
      <c r="Q477" s="101"/>
      <c r="R477" s="67"/>
      <c r="S477" s="68"/>
      <c r="T477" s="69" t="str">
        <f t="shared" si="25"/>
        <v/>
      </c>
      <c r="U477" s="70" t="str">
        <f t="shared" si="5"/>
        <v>#DIV/0!</v>
      </c>
      <c r="V477" s="103"/>
      <c r="W477" s="72" t="str">
        <f t="shared" si="6"/>
        <v/>
      </c>
      <c r="X477" s="72"/>
      <c r="Y477" s="103"/>
      <c r="Z477" s="98"/>
      <c r="AA477" s="104"/>
      <c r="AB477" s="70"/>
      <c r="AC477" s="76"/>
      <c r="AD477" s="70"/>
      <c r="AE477" s="76"/>
      <c r="AF477" s="64"/>
      <c r="AG477" s="64"/>
      <c r="AH477" s="77"/>
      <c r="AI477" s="98"/>
    </row>
    <row r="478">
      <c r="A478" s="78" t="s">
        <v>2471</v>
      </c>
      <c r="B478" s="38">
        <v>1.0</v>
      </c>
      <c r="C478" s="39">
        <v>7.0</v>
      </c>
      <c r="D478" s="40">
        <f t="array" ref="D478">IFERROR(INDIRECT("'renta'!G$"&amp;MATCH(T478,renta!$A:$A,0))*0.975-(G478*INDIRECT("'renta'!G$"&amp;MATCH(F478,renta!$A:$A,0)))/B478-IFERROR((J478*INDIRECT("'renta'!G$"&amp;MATCH(I478,renta!$A:$A,0)))/B478,0),)</f>
        <v>-737.3034556</v>
      </c>
      <c r="E478" s="41">
        <f t="shared" si="53"/>
        <v>-8.77742209</v>
      </c>
      <c r="F478" s="40" t="s">
        <v>84</v>
      </c>
      <c r="G478" s="43" t="str">
        <f t="shared" ref="G478:G521" si="54">H478</f>
        <v>3,00</v>
      </c>
      <c r="H478" s="44" t="s">
        <v>136</v>
      </c>
      <c r="I478" s="40" t="s">
        <v>87</v>
      </c>
      <c r="J478" s="40">
        <f t="shared" si="23"/>
        <v>1.9</v>
      </c>
      <c r="K478" s="40">
        <v>2.0</v>
      </c>
      <c r="L478" s="38" t="s">
        <v>137</v>
      </c>
      <c r="M478" s="46">
        <v>725.0</v>
      </c>
      <c r="N478" s="46" t="s">
        <v>2472</v>
      </c>
      <c r="O478" s="42" t="s">
        <v>12</v>
      </c>
      <c r="P478" s="46">
        <v>1.0</v>
      </c>
      <c r="Q478" s="46"/>
      <c r="R478" s="47">
        <f t="array" ref="R478">INDIRECT("'renta'!G$"&amp;MATCH(O478,renta!$A:$A,0))*P478</f>
        <v>0.0041</v>
      </c>
      <c r="S478" s="48">
        <f t="shared" ref="S478:S487" si="55">SUM(R$478:R478)</f>
        <v>0.0041</v>
      </c>
      <c r="T478" s="49" t="str">
        <f t="shared" si="25"/>
        <v>PLASTICS</v>
      </c>
      <c r="U478" s="50">
        <f t="shared" si="5"/>
        <v>-2140834.656</v>
      </c>
      <c r="V478" s="80">
        <v>435.0</v>
      </c>
      <c r="W478" s="52">
        <f t="shared" si="6"/>
        <v>-1.694950473</v>
      </c>
      <c r="X478" s="52"/>
      <c r="Y478" s="80">
        <v>0.0</v>
      </c>
      <c r="Z478" s="39">
        <v>0.0</v>
      </c>
      <c r="AA478" s="53">
        <v>0.0</v>
      </c>
      <c r="AB478" s="82" t="s">
        <v>2336</v>
      </c>
      <c r="AC478" s="54" t="s">
        <v>759</v>
      </c>
      <c r="AD478" s="82" t="s">
        <v>667</v>
      </c>
      <c r="AE478" s="54" t="s">
        <v>2473</v>
      </c>
      <c r="AF478" s="40" t="s">
        <v>806</v>
      </c>
      <c r="AG478" s="40" t="s">
        <v>2474</v>
      </c>
      <c r="AH478" s="87">
        <v>9.0</v>
      </c>
      <c r="AI478" s="39"/>
    </row>
    <row r="479">
      <c r="A479" s="58" t="s">
        <v>2475</v>
      </c>
      <c r="B479" s="59">
        <v>1.0</v>
      </c>
      <c r="C479" s="60">
        <v>5.0</v>
      </c>
      <c r="D479" s="61">
        <f t="array" ref="D479">IFERROR(INDIRECT("'renta'!G$"&amp;MATCH(T479,renta!$A:$A,0))*0.975-(G479*INDIRECT("'renta'!G$"&amp;MATCH(F479,renta!$A:$A,0)))/B479-IFERROR((J479*INDIRECT("'renta'!G$"&amp;MATCH(I479,renta!$A:$A,0)))/B479,0),)</f>
        <v>-642.180421</v>
      </c>
      <c r="E479" s="41">
        <f t="shared" si="53"/>
        <v>-10.70300702</v>
      </c>
      <c r="F479" s="61" t="s">
        <v>84</v>
      </c>
      <c r="G479" s="62" t="str">
        <f t="shared" si="54"/>
        <v>2,97</v>
      </c>
      <c r="H479" s="63" t="s">
        <v>2211</v>
      </c>
      <c r="I479" s="61" t="s">
        <v>87</v>
      </c>
      <c r="J479" s="61">
        <f t="shared" si="23"/>
        <v>1.881</v>
      </c>
      <c r="K479" s="61">
        <v>1.98</v>
      </c>
      <c r="L479" s="59" t="s">
        <v>2339</v>
      </c>
      <c r="M479" s="65">
        <v>725.0</v>
      </c>
      <c r="N479" s="65" t="s">
        <v>2472</v>
      </c>
      <c r="O479" s="66" t="s">
        <v>34</v>
      </c>
      <c r="P479" s="65">
        <v>15.0</v>
      </c>
      <c r="Q479" s="65"/>
      <c r="R479" s="67">
        <f t="array" ref="R479">INDIRECT("'renta'!G$"&amp;MATCH(O479,renta!$A:$A,0))*P479</f>
        <v>1990.232295</v>
      </c>
      <c r="S479" s="68">
        <f t="shared" si="55"/>
        <v>1990.236395</v>
      </c>
      <c r="T479" s="69" t="str">
        <f t="shared" si="25"/>
        <v>PLASTICS</v>
      </c>
      <c r="U479" s="70">
        <f t="shared" si="5"/>
        <v>-0.967517677</v>
      </c>
      <c r="V479" s="71">
        <v>435.0</v>
      </c>
      <c r="W479" s="72">
        <f t="shared" si="6"/>
        <v>-1.47627683</v>
      </c>
      <c r="X479" s="72"/>
      <c r="Y479" s="71">
        <v>0.0</v>
      </c>
      <c r="Z479" s="60">
        <v>-2.0</v>
      </c>
      <c r="AA479" s="73">
        <v>0.4</v>
      </c>
      <c r="AB479" s="74" t="s">
        <v>2476</v>
      </c>
      <c r="AC479" s="75" t="s">
        <v>2477</v>
      </c>
      <c r="AD479" s="74" t="s">
        <v>796</v>
      </c>
      <c r="AE479" s="75" t="s">
        <v>783</v>
      </c>
      <c r="AF479" s="61" t="s">
        <v>806</v>
      </c>
      <c r="AG479" s="61" t="s">
        <v>1789</v>
      </c>
      <c r="AH479" s="86">
        <v>9.0</v>
      </c>
      <c r="AI479" s="60"/>
    </row>
    <row r="480">
      <c r="A480" s="78" t="s">
        <v>2478</v>
      </c>
      <c r="B480" s="38">
        <v>1.0</v>
      </c>
      <c r="C480" s="39">
        <v>3.6666666666666665</v>
      </c>
      <c r="D480" s="40">
        <f t="array" ref="D480">IFERROR(INDIRECT("'renta'!G$"&amp;MATCH(T480,renta!$A:$A,0))*0.975-(G480*INDIRECT("'renta'!G$"&amp;MATCH(F480,renta!$A:$A,0)))/B480-IFERROR((J480*INDIRECT("'renta'!G$"&amp;MATCH(I480,renta!$A:$A,0)))/B480,0),)</f>
        <v>-508.2247083</v>
      </c>
      <c r="E480" s="41">
        <f t="shared" si="53"/>
        <v>-11.55056155</v>
      </c>
      <c r="F480" s="40" t="s">
        <v>84</v>
      </c>
      <c r="G480" s="43" t="str">
        <f t="shared" si="54"/>
        <v>2,93</v>
      </c>
      <c r="H480" s="44" t="s">
        <v>2344</v>
      </c>
      <c r="I480" s="40" t="s">
        <v>87</v>
      </c>
      <c r="J480" s="40">
        <f t="shared" si="23"/>
        <v>1.8525</v>
      </c>
      <c r="K480" s="40">
        <v>1.95</v>
      </c>
      <c r="L480" s="38" t="s">
        <v>2345</v>
      </c>
      <c r="M480" s="46">
        <v>725.0</v>
      </c>
      <c r="N480" s="46" t="s">
        <v>2472</v>
      </c>
      <c r="O480" s="42" t="s">
        <v>75</v>
      </c>
      <c r="P480" s="46">
        <v>79.0</v>
      </c>
      <c r="Q480" s="46"/>
      <c r="R480" s="47">
        <f t="array" ref="R480">INDIRECT("'renta'!G$"&amp;MATCH(O480,renta!$A:$A,0))*P480</f>
        <v>6320</v>
      </c>
      <c r="S480" s="48">
        <f t="shared" si="55"/>
        <v>8310.236395</v>
      </c>
      <c r="T480" s="49" t="str">
        <f t="shared" si="25"/>
        <v>PLASTICS</v>
      </c>
      <c r="U480" s="50">
        <f t="shared" si="5"/>
        <v>-0.1341067302</v>
      </c>
      <c r="V480" s="80">
        <v>435.0</v>
      </c>
      <c r="W480" s="52">
        <f t="shared" si="6"/>
        <v>-1.168332663</v>
      </c>
      <c r="X480" s="52"/>
      <c r="Y480" s="80">
        <v>0.0</v>
      </c>
      <c r="Z480" s="39">
        <v>-1.3333333333333333</v>
      </c>
      <c r="AA480" s="81" t="s">
        <v>2479</v>
      </c>
      <c r="AB480" s="82" t="s">
        <v>2480</v>
      </c>
      <c r="AC480" s="54" t="s">
        <v>2477</v>
      </c>
      <c r="AD480" s="82" t="s">
        <v>2481</v>
      </c>
      <c r="AE480" s="54" t="s">
        <v>2482</v>
      </c>
      <c r="AF480" s="40" t="s">
        <v>806</v>
      </c>
      <c r="AG480" s="40" t="s">
        <v>2483</v>
      </c>
      <c r="AH480" s="87">
        <v>9.0</v>
      </c>
      <c r="AI480" s="39"/>
    </row>
    <row r="481">
      <c r="A481" s="58" t="s">
        <v>91</v>
      </c>
      <c r="B481" s="59">
        <v>1.0</v>
      </c>
      <c r="C481" s="60">
        <v>2.6666666666666665</v>
      </c>
      <c r="D481" s="61">
        <f t="array" ref="D481">IFERROR(INDIRECT("'renta'!G$"&amp;MATCH(T481,renta!$A:$A,0))*0.975-(G481*INDIRECT("'renta'!G$"&amp;MATCH(F481,renta!$A:$A,0)))/B481-IFERROR((J481*INDIRECT("'renta'!G$"&amp;MATCH(I481,renta!$A:$A,0)))/B481,0),)</f>
        <v>-395.6439956</v>
      </c>
      <c r="E481" s="41">
        <f t="shared" si="53"/>
        <v>-12.36387486</v>
      </c>
      <c r="F481" s="61" t="s">
        <v>84</v>
      </c>
      <c r="G481" s="62" t="str">
        <f t="shared" si="54"/>
        <v>2,89</v>
      </c>
      <c r="H481" s="63" t="s">
        <v>2349</v>
      </c>
      <c r="I481" s="61" t="s">
        <v>87</v>
      </c>
      <c r="J481" s="61">
        <f t="shared" si="23"/>
        <v>1.8335</v>
      </c>
      <c r="K481" s="61">
        <v>1.93</v>
      </c>
      <c r="L481" s="59" t="s">
        <v>2350</v>
      </c>
      <c r="M481" s="65">
        <v>725.0</v>
      </c>
      <c r="N481" s="65" t="s">
        <v>2472</v>
      </c>
      <c r="O481" s="66" t="s">
        <v>75</v>
      </c>
      <c r="P481" s="65">
        <v>96.0</v>
      </c>
      <c r="Q481" s="65"/>
      <c r="R481" s="67">
        <f t="array" ref="R481">INDIRECT("'renta'!G$"&amp;MATCH(O481,renta!$A:$A,0))*P481</f>
        <v>7680</v>
      </c>
      <c r="S481" s="68">
        <f t="shared" si="55"/>
        <v>15990.2364</v>
      </c>
      <c r="T481" s="69" t="str">
        <f t="shared" si="25"/>
        <v>PLASTICS</v>
      </c>
      <c r="U481" s="70">
        <f t="shared" si="5"/>
        <v>-0.1059001704</v>
      </c>
      <c r="V481" s="71">
        <v>435.0</v>
      </c>
      <c r="W481" s="72">
        <f t="shared" si="6"/>
        <v>-0.9095264266</v>
      </c>
      <c r="X481" s="72"/>
      <c r="Y481" s="71">
        <v>0.0</v>
      </c>
      <c r="Z481" s="60">
        <v>-1.0</v>
      </c>
      <c r="AA481" s="85" t="s">
        <v>2045</v>
      </c>
      <c r="AB481" s="110">
        <v>46235.0</v>
      </c>
      <c r="AC481" s="75" t="s">
        <v>141</v>
      </c>
      <c r="AD481" s="74" t="s">
        <v>2484</v>
      </c>
      <c r="AE481" s="75" t="s">
        <v>2482</v>
      </c>
      <c r="AF481" s="61" t="s">
        <v>806</v>
      </c>
      <c r="AG481" s="61" t="s">
        <v>2485</v>
      </c>
      <c r="AH481" s="86">
        <v>9.0</v>
      </c>
      <c r="AI481" s="60"/>
    </row>
    <row r="482">
      <c r="A482" s="78" t="s">
        <v>2486</v>
      </c>
      <c r="B482" s="38">
        <v>1.0</v>
      </c>
      <c r="C482" s="39">
        <v>2.0</v>
      </c>
      <c r="D482" s="40">
        <f t="array" ref="D482">IFERROR(INDIRECT("'renta'!G$"&amp;MATCH(T482,renta!$A:$A,0))*0.975-(G482*INDIRECT("'renta'!G$"&amp;MATCH(F482,renta!$A:$A,0)))/B482-IFERROR((J482*INDIRECT("'renta'!G$"&amp;MATCH(I482,renta!$A:$A,0)))/B482,0),)</f>
        <v>-261.6882828</v>
      </c>
      <c r="E482" s="41">
        <f t="shared" si="53"/>
        <v>-10.90367845</v>
      </c>
      <c r="F482" s="40" t="s">
        <v>84</v>
      </c>
      <c r="G482" s="43" t="str">
        <f t="shared" si="54"/>
        <v>2,85</v>
      </c>
      <c r="H482" s="44" t="s">
        <v>2151</v>
      </c>
      <c r="I482" s="40" t="s">
        <v>87</v>
      </c>
      <c r="J482" s="40">
        <f t="shared" si="23"/>
        <v>1.805</v>
      </c>
      <c r="K482" s="40">
        <v>1.9</v>
      </c>
      <c r="L482" s="38" t="s">
        <v>2355</v>
      </c>
      <c r="M482" s="46">
        <v>725.0</v>
      </c>
      <c r="N482" s="46" t="s">
        <v>2472</v>
      </c>
      <c r="O482" s="42" t="s">
        <v>78</v>
      </c>
      <c r="P482" s="46">
        <v>41.0</v>
      </c>
      <c r="Q482" s="46"/>
      <c r="R482" s="47">
        <f t="array" ref="R482">INDIRECT("'renta'!G$"&amp;MATCH(O482,renta!$A:$A,0))*P482</f>
        <v>12612.50963</v>
      </c>
      <c r="S482" s="48">
        <f t="shared" si="55"/>
        <v>28602.74602</v>
      </c>
      <c r="T482" s="49" t="str">
        <f t="shared" si="25"/>
        <v>PLASTICS</v>
      </c>
      <c r="U482" s="50">
        <f t="shared" si="5"/>
        <v>0.1157736607</v>
      </c>
      <c r="V482" s="80">
        <v>435.0</v>
      </c>
      <c r="W482" s="52">
        <f t="shared" si="6"/>
        <v>-0.6015822594</v>
      </c>
      <c r="X482" s="52"/>
      <c r="Y482" s="80">
        <v>0.0</v>
      </c>
      <c r="Z482" s="39">
        <v>-0.6666666666666666</v>
      </c>
      <c r="AA482" s="81" t="s">
        <v>1465</v>
      </c>
      <c r="AB482" s="82" t="s">
        <v>2487</v>
      </c>
      <c r="AC482" s="54" t="s">
        <v>2488</v>
      </c>
      <c r="AD482" s="82" t="s">
        <v>2489</v>
      </c>
      <c r="AE482" s="54" t="s">
        <v>2476</v>
      </c>
      <c r="AF482" s="40" t="s">
        <v>806</v>
      </c>
      <c r="AG482" s="40" t="s">
        <v>2490</v>
      </c>
      <c r="AH482" s="87">
        <v>9.0</v>
      </c>
      <c r="AI482" s="39"/>
    </row>
    <row r="483">
      <c r="A483" s="58" t="s">
        <v>2491</v>
      </c>
      <c r="B483" s="59">
        <v>1.0</v>
      </c>
      <c r="C483" s="60">
        <v>1.5</v>
      </c>
      <c r="D483" s="61">
        <f t="array" ref="D483">IFERROR(INDIRECT("'renta'!G$"&amp;MATCH(T483,renta!$A:$A,0))*0.975-(G483*INDIRECT("'renta'!G$"&amp;MATCH(F483,renta!$A:$A,0)))/B483-IFERROR((J483*INDIRECT("'renta'!G$"&amp;MATCH(I483,renta!$A:$A,0)))/B483,0),)</f>
        <v>-110.2748919</v>
      </c>
      <c r="E483" s="41">
        <f t="shared" si="53"/>
        <v>-6.126382883</v>
      </c>
      <c r="F483" s="61" t="s">
        <v>84</v>
      </c>
      <c r="G483" s="62" t="str">
        <f t="shared" si="54"/>
        <v>2,80</v>
      </c>
      <c r="H483" s="63" t="s">
        <v>2235</v>
      </c>
      <c r="I483" s="61" t="s">
        <v>87</v>
      </c>
      <c r="J483" s="61">
        <f t="shared" si="23"/>
        <v>1.7765</v>
      </c>
      <c r="K483" s="61">
        <v>1.87</v>
      </c>
      <c r="L483" s="59" t="s">
        <v>2360</v>
      </c>
      <c r="M483" s="65">
        <v>725.0</v>
      </c>
      <c r="N483" s="65" t="s">
        <v>2472</v>
      </c>
      <c r="O483" s="66" t="s">
        <v>78</v>
      </c>
      <c r="P483" s="65">
        <v>56.0</v>
      </c>
      <c r="Q483" s="65"/>
      <c r="R483" s="67">
        <f t="array" ref="R483">INDIRECT("'renta'!G$"&amp;MATCH(O483,renta!$A:$A,0))*P483</f>
        <v>17226.84242</v>
      </c>
      <c r="S483" s="68">
        <f t="shared" si="55"/>
        <v>45829.58844</v>
      </c>
      <c r="T483" s="69" t="str">
        <f t="shared" si="25"/>
        <v>PLASTICS</v>
      </c>
      <c r="U483" s="70">
        <f t="shared" si="5"/>
        <v>0.2773169599</v>
      </c>
      <c r="V483" s="71">
        <v>435.0</v>
      </c>
      <c r="W483" s="72">
        <f t="shared" si="6"/>
        <v>-0.2535054986</v>
      </c>
      <c r="X483" s="72"/>
      <c r="Y483" s="71">
        <v>0.0</v>
      </c>
      <c r="Z483" s="60">
        <v>-0.5</v>
      </c>
      <c r="AA483" s="85" t="s">
        <v>1465</v>
      </c>
      <c r="AB483" s="74" t="s">
        <v>2492</v>
      </c>
      <c r="AC483" s="75" t="s">
        <v>2493</v>
      </c>
      <c r="AD483" s="74" t="s">
        <v>407</v>
      </c>
      <c r="AE483" s="75" t="s">
        <v>2494</v>
      </c>
      <c r="AF483" s="61" t="s">
        <v>806</v>
      </c>
      <c r="AG483" s="61" t="s">
        <v>2495</v>
      </c>
      <c r="AH483" s="86">
        <v>9.0</v>
      </c>
      <c r="AI483" s="60"/>
    </row>
    <row r="484">
      <c r="A484" s="78" t="s">
        <v>2496</v>
      </c>
      <c r="B484" s="38">
        <v>1.0</v>
      </c>
      <c r="C484" s="39">
        <v>1.1666666666666667</v>
      </c>
      <c r="D484" s="40">
        <f t="array" ref="D484">IFERROR(INDIRECT("'renta'!G$"&amp;MATCH(T484,renta!$A:$A,0))*0.975-(G484*INDIRECT("'renta'!G$"&amp;MATCH(F484,renta!$A:$A,0)))/B484-IFERROR((J484*INDIRECT("'renta'!G$"&amp;MATCH(I484,renta!$A:$A,0)))/B484,0),)</f>
        <v>23.68082085</v>
      </c>
      <c r="E484" s="41">
        <f t="shared" si="53"/>
        <v>1.691487203</v>
      </c>
      <c r="F484" s="40" t="s">
        <v>84</v>
      </c>
      <c r="G484" s="43" t="str">
        <f t="shared" si="54"/>
        <v>2,76</v>
      </c>
      <c r="H484" s="44" t="s">
        <v>2364</v>
      </c>
      <c r="I484" s="40" t="s">
        <v>87</v>
      </c>
      <c r="J484" s="40">
        <f t="shared" si="23"/>
        <v>1.748</v>
      </c>
      <c r="K484" s="40">
        <v>1.84</v>
      </c>
      <c r="L484" s="38" t="s">
        <v>2365</v>
      </c>
      <c r="M484" s="46">
        <v>725.0</v>
      </c>
      <c r="N484" s="46" t="s">
        <v>2472</v>
      </c>
      <c r="O484" s="42" t="s">
        <v>84</v>
      </c>
      <c r="P484" s="46">
        <v>13.0</v>
      </c>
      <c r="Q484" s="46"/>
      <c r="R484" s="47">
        <f t="array" ref="R484">INDIRECT("'renta'!G$"&amp;MATCH(O484,renta!$A:$A,0))*P484</f>
        <v>22694.98164</v>
      </c>
      <c r="S484" s="48">
        <f t="shared" si="55"/>
        <v>68524.57008</v>
      </c>
      <c r="T484" s="49" t="str">
        <f t="shared" si="25"/>
        <v>PLASTICS</v>
      </c>
      <c r="U484" s="50">
        <f t="shared" si="5"/>
        <v>0.3444757176</v>
      </c>
      <c r="V484" s="80">
        <v>435.0</v>
      </c>
      <c r="W484" s="52">
        <f t="shared" si="6"/>
        <v>0.05443866862</v>
      </c>
      <c r="X484" s="52"/>
      <c r="Y484" s="80">
        <v>0.0</v>
      </c>
      <c r="Z484" s="39">
        <v>-0.3333333333333333</v>
      </c>
      <c r="AA484" s="81" t="s">
        <v>2346</v>
      </c>
      <c r="AB484" s="82" t="s">
        <v>2497</v>
      </c>
      <c r="AC484" s="54" t="s">
        <v>2065</v>
      </c>
      <c r="AD484" s="82" t="s">
        <v>2498</v>
      </c>
      <c r="AE484" s="54" t="s">
        <v>2477</v>
      </c>
      <c r="AF484" s="40" t="s">
        <v>806</v>
      </c>
      <c r="AG484" s="40" t="s">
        <v>2499</v>
      </c>
      <c r="AH484" s="87">
        <v>9.0</v>
      </c>
      <c r="AI484" s="39"/>
    </row>
    <row r="485">
      <c r="A485" s="58" t="s">
        <v>2500</v>
      </c>
      <c r="B485" s="59">
        <v>1.0</v>
      </c>
      <c r="C485" s="60">
        <v>0.9166666666666666</v>
      </c>
      <c r="D485" s="61">
        <f t="array" ref="D485">IFERROR(INDIRECT("'renta'!G$"&amp;MATCH(T485,renta!$A:$A,0))*0.975-(G485*INDIRECT("'renta'!G$"&amp;MATCH(F485,renta!$A:$A,0)))/B485-IFERROR((J485*INDIRECT("'renta'!G$"&amp;MATCH(I485,renta!$A:$A,0)))/B485,0),)</f>
        <v>175.0942118</v>
      </c>
      <c r="E485" s="41">
        <f t="shared" si="53"/>
        <v>15.91765562</v>
      </c>
      <c r="F485" s="61" t="s">
        <v>84</v>
      </c>
      <c r="G485" s="62" t="str">
        <f t="shared" si="54"/>
        <v>2,71</v>
      </c>
      <c r="H485" s="63" t="s">
        <v>2369</v>
      </c>
      <c r="I485" s="61" t="s">
        <v>87</v>
      </c>
      <c r="J485" s="61">
        <f t="shared" si="23"/>
        <v>1.7195</v>
      </c>
      <c r="K485" s="61">
        <v>1.81</v>
      </c>
      <c r="L485" s="59" t="s">
        <v>2370</v>
      </c>
      <c r="M485" s="65">
        <v>725.0</v>
      </c>
      <c r="N485" s="65" t="s">
        <v>2472</v>
      </c>
      <c r="O485" s="66" t="s">
        <v>87</v>
      </c>
      <c r="P485" s="65">
        <v>41.0</v>
      </c>
      <c r="Q485" s="65"/>
      <c r="R485" s="67">
        <f t="array" ref="R485">INDIRECT("'renta'!G$"&amp;MATCH(O485,renta!$A:$A,0))*P485</f>
        <v>92250</v>
      </c>
      <c r="S485" s="68">
        <f t="shared" si="55"/>
        <v>160774.5701</v>
      </c>
      <c r="T485" s="69" t="str">
        <f t="shared" si="25"/>
        <v>PLASTICS</v>
      </c>
      <c r="U485" s="70">
        <f t="shared" si="5"/>
        <v>0.1542132077</v>
      </c>
      <c r="V485" s="71">
        <v>435.0</v>
      </c>
      <c r="W485" s="72">
        <f t="shared" si="6"/>
        <v>0.4025154294</v>
      </c>
      <c r="X485" s="72"/>
      <c r="Y485" s="71">
        <v>0.0</v>
      </c>
      <c r="Z485" s="60">
        <v>-0.25</v>
      </c>
      <c r="AA485" s="85" t="s">
        <v>2434</v>
      </c>
      <c r="AB485" s="74" t="s">
        <v>2501</v>
      </c>
      <c r="AC485" s="75" t="s">
        <v>2059</v>
      </c>
      <c r="AD485" s="74" t="s">
        <v>2502</v>
      </c>
      <c r="AE485" s="75" t="s">
        <v>2488</v>
      </c>
      <c r="AF485" s="61" t="s">
        <v>806</v>
      </c>
      <c r="AG485" s="61" t="s">
        <v>2503</v>
      </c>
      <c r="AH485" s="86">
        <v>9.0</v>
      </c>
      <c r="AI485" s="60"/>
    </row>
    <row r="486">
      <c r="A486" s="78" t="s">
        <v>2504</v>
      </c>
      <c r="B486" s="38">
        <v>1.0</v>
      </c>
      <c r="C486" s="39">
        <v>0.7083333333333334</v>
      </c>
      <c r="D486" s="40">
        <f t="array" ref="D486">IFERROR(INDIRECT("'renta'!G$"&amp;MATCH(T486,renta!$A:$A,0))*0.975-(G486*INDIRECT("'renta'!G$"&amp;MATCH(F486,renta!$A:$A,0)))/B486-IFERROR((J486*INDIRECT("'renta'!G$"&amp;MATCH(I486,renta!$A:$A,0)))/B486,0),)</f>
        <v>347.8826027</v>
      </c>
      <c r="E486" s="41">
        <f t="shared" si="53"/>
        <v>40.92736502</v>
      </c>
      <c r="F486" s="40" t="s">
        <v>84</v>
      </c>
      <c r="G486" s="43" t="str">
        <f t="shared" si="54"/>
        <v>2,66</v>
      </c>
      <c r="H486" s="44" t="s">
        <v>2374</v>
      </c>
      <c r="I486" s="40" t="s">
        <v>87</v>
      </c>
      <c r="J486" s="40">
        <f t="shared" si="23"/>
        <v>1.6815</v>
      </c>
      <c r="K486" s="40">
        <v>1.77</v>
      </c>
      <c r="L486" s="38" t="s">
        <v>2375</v>
      </c>
      <c r="M486" s="46">
        <v>725.0</v>
      </c>
      <c r="N486" s="46" t="s">
        <v>2472</v>
      </c>
      <c r="O486" s="42" t="s">
        <v>87</v>
      </c>
      <c r="P486" s="46">
        <v>63.0</v>
      </c>
      <c r="Q486" s="46"/>
      <c r="R486" s="47">
        <f t="array" ref="R486">INDIRECT("'renta'!G$"&amp;MATCH(O486,renta!$A:$A,0))*P486</f>
        <v>141750</v>
      </c>
      <c r="S486" s="48">
        <f t="shared" si="55"/>
        <v>302524.5701</v>
      </c>
      <c r="T486" s="49" t="str">
        <f t="shared" si="25"/>
        <v>PLASTICS</v>
      </c>
      <c r="U486" s="50">
        <f t="shared" si="5"/>
        <v>0.1764353397</v>
      </c>
      <c r="V486" s="80">
        <v>435.0</v>
      </c>
      <c r="W486" s="52">
        <f t="shared" si="6"/>
        <v>0.7997301212</v>
      </c>
      <c r="X486" s="52"/>
      <c r="Y486" s="80">
        <v>0.0</v>
      </c>
      <c r="Z486" s="39">
        <v>-0.20833333333333334</v>
      </c>
      <c r="AA486" s="81" t="s">
        <v>2505</v>
      </c>
      <c r="AB486" s="82" t="s">
        <v>2506</v>
      </c>
      <c r="AC486" s="54" t="s">
        <v>2055</v>
      </c>
      <c r="AD486" s="82" t="s">
        <v>2137</v>
      </c>
      <c r="AE486" s="54" t="s">
        <v>1899</v>
      </c>
      <c r="AF486" s="40" t="s">
        <v>806</v>
      </c>
      <c r="AG486" s="40" t="s">
        <v>2507</v>
      </c>
      <c r="AH486" s="87">
        <v>9.0</v>
      </c>
      <c r="AI486" s="39"/>
    </row>
    <row r="487">
      <c r="A487" s="58" t="s">
        <v>2508</v>
      </c>
      <c r="B487" s="59">
        <v>1.0</v>
      </c>
      <c r="C487" s="60">
        <v>0.5</v>
      </c>
      <c r="D487" s="61">
        <f t="array" ref="D487">IFERROR(INDIRECT("'renta'!G$"&amp;MATCH(T487,renta!$A:$A,0))*0.975-(G487*INDIRECT("'renta'!G$"&amp;MATCH(F487,renta!$A:$A,0)))/B487-IFERROR((J487*INDIRECT("'renta'!G$"&amp;MATCH(I487,renta!$A:$A,0)))/B487,0),)</f>
        <v>499.2959936</v>
      </c>
      <c r="E487" s="41">
        <f t="shared" si="53"/>
        <v>83.21599894</v>
      </c>
      <c r="F487" s="61" t="s">
        <v>84</v>
      </c>
      <c r="G487" s="62" t="str">
        <f t="shared" si="54"/>
        <v>2,61</v>
      </c>
      <c r="H487" s="63" t="s">
        <v>2184</v>
      </c>
      <c r="I487" s="61" t="s">
        <v>87</v>
      </c>
      <c r="J487" s="61">
        <f t="shared" si="23"/>
        <v>1.653</v>
      </c>
      <c r="K487" s="61">
        <v>1.74</v>
      </c>
      <c r="L487" s="59" t="s">
        <v>1366</v>
      </c>
      <c r="M487" s="65">
        <v>725.0</v>
      </c>
      <c r="N487" s="65" t="s">
        <v>2472</v>
      </c>
      <c r="O487" s="66" t="s">
        <v>90</v>
      </c>
      <c r="P487" s="65">
        <v>12.0</v>
      </c>
      <c r="Q487" s="65"/>
      <c r="R487" s="67">
        <f t="array" ref="R487">INDIRECT("'renta'!G$"&amp;MATCH(O487,renta!$A:$A,0))*P487</f>
        <v>108000</v>
      </c>
      <c r="S487" s="68">
        <f t="shared" si="55"/>
        <v>410524.5701</v>
      </c>
      <c r="T487" s="69" t="str">
        <f t="shared" si="25"/>
        <v>PLASTICS</v>
      </c>
      <c r="U487" s="70">
        <f t="shared" si="5"/>
        <v>0.3915614251</v>
      </c>
      <c r="V487" s="71">
        <v>435.0</v>
      </c>
      <c r="W487" s="72">
        <f t="shared" si="6"/>
        <v>1.147806882</v>
      </c>
      <c r="X487" s="72"/>
      <c r="Y487" s="71">
        <v>0.0</v>
      </c>
      <c r="Z487" s="60">
        <v>-0.20833333333333334</v>
      </c>
      <c r="AA487" s="85" t="s">
        <v>405</v>
      </c>
      <c r="AB487" s="74" t="s">
        <v>2509</v>
      </c>
      <c r="AC487" s="75" t="s">
        <v>2055</v>
      </c>
      <c r="AD487" s="74" t="s">
        <v>2510</v>
      </c>
      <c r="AE487" s="75" t="s">
        <v>2244</v>
      </c>
      <c r="AF487" s="61" t="s">
        <v>806</v>
      </c>
      <c r="AG487" s="61" t="s">
        <v>2511</v>
      </c>
      <c r="AH487" s="86">
        <v>9.0</v>
      </c>
      <c r="AI487" s="60"/>
    </row>
    <row r="488">
      <c r="A488" s="88"/>
      <c r="B488" s="89"/>
      <c r="C488" s="90"/>
      <c r="D488" s="40" t="str">
        <f t="array" ref="D488">IFERROR(INDIRECT("'renta'!G$"&amp;MATCH(T488,renta!$A:$A,0))*0.975-(G488*INDIRECT("'renta'!G$"&amp;MATCH(F488,renta!$A:$A,0)))/B488-IFERROR((J488*INDIRECT("'renta'!G$"&amp;MATCH(I488,renta!$A:$A,0)))/B488,0),)</f>
        <v/>
      </c>
      <c r="E488" s="41">
        <f t="shared" si="53"/>
        <v>0</v>
      </c>
      <c r="F488" s="79"/>
      <c r="G488" s="43" t="str">
        <f t="shared" si="54"/>
        <v/>
      </c>
      <c r="H488" s="91"/>
      <c r="I488" s="79"/>
      <c r="J488" s="40">
        <f t="shared" si="23"/>
        <v>0</v>
      </c>
      <c r="K488" s="79"/>
      <c r="L488" s="92"/>
      <c r="M488" s="93"/>
      <c r="N488" s="93"/>
      <c r="O488" s="45"/>
      <c r="P488" s="93"/>
      <c r="Q488" s="93"/>
      <c r="R488" s="47"/>
      <c r="S488" s="48"/>
      <c r="T488" s="49" t="str">
        <f t="shared" si="25"/>
        <v/>
      </c>
      <c r="U488" s="50" t="str">
        <f t="shared" si="5"/>
        <v>#DIV/0!</v>
      </c>
      <c r="V488" s="94"/>
      <c r="W488" s="52" t="str">
        <f t="shared" si="6"/>
        <v/>
      </c>
      <c r="X488" s="52"/>
      <c r="Y488" s="94"/>
      <c r="Z488" s="90"/>
      <c r="AA488" s="95"/>
      <c r="AB488" s="50"/>
      <c r="AC488" s="83"/>
      <c r="AD488" s="50"/>
      <c r="AE488" s="83"/>
      <c r="AF488" s="79"/>
      <c r="AG488" s="79"/>
      <c r="AH488" s="84"/>
      <c r="AI488" s="90"/>
    </row>
    <row r="489">
      <c r="A489" s="58" t="s">
        <v>2512</v>
      </c>
      <c r="B489" s="59">
        <v>1.0</v>
      </c>
      <c r="C489" s="60">
        <v>8.0</v>
      </c>
      <c r="D489" s="61">
        <f t="array" ref="D489">IFERROR(INDIRECT("'renta'!G$"&amp;MATCH(T489,renta!$A:$A,0))*0.975-(G489*INDIRECT("'renta'!G$"&amp;MATCH(F489,renta!$A:$A,0)))/B489-IFERROR((J489*INDIRECT("'renta'!G$"&amp;MATCH(I489,renta!$A:$A,0)))/B489,0),)</f>
        <v>-756.1580847</v>
      </c>
      <c r="E489" s="41">
        <f t="shared" si="53"/>
        <v>-7.876646716</v>
      </c>
      <c r="F489" s="61" t="s">
        <v>65</v>
      </c>
      <c r="G489" s="62" t="str">
        <f t="shared" si="54"/>
        <v>10,00</v>
      </c>
      <c r="H489" s="63" t="s">
        <v>398</v>
      </c>
      <c r="I489" s="61" t="s">
        <v>68</v>
      </c>
      <c r="J489" s="61">
        <f t="shared" si="23"/>
        <v>1.9</v>
      </c>
      <c r="K489" s="61">
        <v>2.0</v>
      </c>
      <c r="L489" s="59" t="s">
        <v>137</v>
      </c>
      <c r="M489" s="65">
        <v>850.0</v>
      </c>
      <c r="N489" s="65" t="s">
        <v>2513</v>
      </c>
      <c r="O489" s="66" t="s">
        <v>12</v>
      </c>
      <c r="P489" s="65">
        <v>1.0</v>
      </c>
      <c r="Q489" s="65"/>
      <c r="R489" s="67">
        <f t="array" ref="R489">INDIRECT("'renta'!G$"&amp;MATCH(O489,renta!$A:$A,0))*P489</f>
        <v>0.0041</v>
      </c>
      <c r="S489" s="68">
        <f t="shared" ref="S489:S498" si="56">SUM(R$489:R489)</f>
        <v>0.0041</v>
      </c>
      <c r="T489" s="69" t="str">
        <f t="shared" si="25"/>
        <v>FIBERGLASS</v>
      </c>
      <c r="U489" s="70">
        <f t="shared" si="5"/>
        <v>-1921133.345</v>
      </c>
      <c r="V489" s="71"/>
      <c r="W489" s="72" t="str">
        <f t="shared" si="6"/>
        <v/>
      </c>
      <c r="X489" s="72"/>
      <c r="Y489" s="71">
        <v>0.0</v>
      </c>
      <c r="Z489" s="60">
        <v>0.0</v>
      </c>
      <c r="AA489" s="73">
        <v>0.0</v>
      </c>
      <c r="AB489" s="74" t="s">
        <v>407</v>
      </c>
      <c r="AC489" s="75" t="s">
        <v>2493</v>
      </c>
      <c r="AD489" s="74" t="s">
        <v>595</v>
      </c>
      <c r="AE489" s="75" t="s">
        <v>2514</v>
      </c>
      <c r="AF489" s="61" t="s">
        <v>806</v>
      </c>
      <c r="AG489" s="61" t="s">
        <v>2515</v>
      </c>
      <c r="AH489" s="86">
        <v>9.0</v>
      </c>
      <c r="AI489" s="59"/>
    </row>
    <row r="490">
      <c r="A490" s="78" t="s">
        <v>73</v>
      </c>
      <c r="B490" s="38">
        <v>1.0</v>
      </c>
      <c r="C490" s="39">
        <v>5.5</v>
      </c>
      <c r="D490" s="40">
        <f t="array" ref="D490">IFERROR(INDIRECT("'renta'!G$"&amp;MATCH(T490,renta!$A:$A,0))*0.975-(G490*INDIRECT("'renta'!G$"&amp;MATCH(F490,renta!$A:$A,0)))/B490-IFERROR((J490*INDIRECT("'renta'!G$"&amp;MATCH(I490,renta!$A:$A,0)))/B490,0),)</f>
        <v>-657.6529877</v>
      </c>
      <c r="E490" s="41">
        <f t="shared" si="53"/>
        <v>-9.964439207</v>
      </c>
      <c r="F490" s="40" t="s">
        <v>65</v>
      </c>
      <c r="G490" s="43" t="str">
        <f t="shared" si="54"/>
        <v>9,88</v>
      </c>
      <c r="H490" s="44" t="s">
        <v>2516</v>
      </c>
      <c r="I490" s="40" t="s">
        <v>68</v>
      </c>
      <c r="J490" s="40">
        <f t="shared" si="23"/>
        <v>1.881</v>
      </c>
      <c r="K490" s="40">
        <v>1.98</v>
      </c>
      <c r="L490" s="38" t="s">
        <v>2339</v>
      </c>
      <c r="M490" s="46">
        <v>850.0</v>
      </c>
      <c r="N490" s="46" t="s">
        <v>2513</v>
      </c>
      <c r="O490" s="42" t="s">
        <v>34</v>
      </c>
      <c r="P490" s="46">
        <v>15.0</v>
      </c>
      <c r="Q490" s="46"/>
      <c r="R490" s="47">
        <f t="array" ref="R490">INDIRECT("'renta'!G$"&amp;MATCH(O490,renta!$A:$A,0))*P490</f>
        <v>1990.232295</v>
      </c>
      <c r="S490" s="48">
        <f t="shared" si="56"/>
        <v>1990.236395</v>
      </c>
      <c r="T490" s="49" t="str">
        <f t="shared" si="25"/>
        <v>FIBERGLASS</v>
      </c>
      <c r="U490" s="50">
        <f t="shared" si="5"/>
        <v>-1.049019502</v>
      </c>
      <c r="V490" s="80">
        <v>510.0</v>
      </c>
      <c r="W490" s="52">
        <f t="shared" si="6"/>
        <v>-1.289515662</v>
      </c>
      <c r="X490" s="52"/>
      <c r="Y490" s="80">
        <v>0.0</v>
      </c>
      <c r="Z490" s="39">
        <v>-2.5</v>
      </c>
      <c r="AA490" s="81" t="s">
        <v>2517</v>
      </c>
      <c r="AB490" s="82" t="s">
        <v>2357</v>
      </c>
      <c r="AC490" s="54" t="s">
        <v>2518</v>
      </c>
      <c r="AD490" s="82" t="s">
        <v>746</v>
      </c>
      <c r="AE490" s="54" t="s">
        <v>746</v>
      </c>
      <c r="AF490" s="40" t="s">
        <v>806</v>
      </c>
      <c r="AG490" s="40" t="s">
        <v>2519</v>
      </c>
      <c r="AH490" s="87">
        <v>9.0</v>
      </c>
      <c r="AI490" s="38"/>
    </row>
    <row r="491">
      <c r="A491" s="58" t="s">
        <v>2520</v>
      </c>
      <c r="B491" s="59">
        <v>1.0</v>
      </c>
      <c r="C491" s="60">
        <v>3.8333333333333335</v>
      </c>
      <c r="D491" s="61">
        <f t="array" ref="D491">IFERROR(INDIRECT("'renta'!G$"&amp;MATCH(T491,renta!$A:$A,0))*0.975-(G491*INDIRECT("'renta'!G$"&amp;MATCH(F491,renta!$A:$A,0)))/B491-IFERROR((J491*INDIRECT("'renta'!G$"&amp;MATCH(I491,renta!$A:$A,0)))/B491,0),)</f>
        <v>-536.1483907</v>
      </c>
      <c r="E491" s="41">
        <f t="shared" si="53"/>
        <v>-11.6553998</v>
      </c>
      <c r="F491" s="61" t="s">
        <v>65</v>
      </c>
      <c r="G491" s="62" t="str">
        <f t="shared" si="54"/>
        <v>9,76</v>
      </c>
      <c r="H491" s="63" t="s">
        <v>2521</v>
      </c>
      <c r="I491" s="61" t="s">
        <v>68</v>
      </c>
      <c r="J491" s="61">
        <f t="shared" si="23"/>
        <v>1.8525</v>
      </c>
      <c r="K491" s="61">
        <v>1.95</v>
      </c>
      <c r="L491" s="59" t="s">
        <v>2345</v>
      </c>
      <c r="M491" s="65">
        <v>850.0</v>
      </c>
      <c r="N491" s="65" t="s">
        <v>2513</v>
      </c>
      <c r="O491" s="66" t="s">
        <v>65</v>
      </c>
      <c r="P491" s="65">
        <v>44.0</v>
      </c>
      <c r="Q491" s="65"/>
      <c r="R491" s="67">
        <f t="array" ref="R491">INDIRECT("'renta'!G$"&amp;MATCH(O491,renta!$A:$A,0))*P491</f>
        <v>19252.23557</v>
      </c>
      <c r="S491" s="68">
        <f t="shared" si="56"/>
        <v>21242.47197</v>
      </c>
      <c r="T491" s="69" t="str">
        <f t="shared" si="25"/>
        <v>FIBERGLASS</v>
      </c>
      <c r="U491" s="109">
        <f t="shared" si="5"/>
        <v>-0.08783190832</v>
      </c>
      <c r="V491" s="71">
        <v>510.0</v>
      </c>
      <c r="W491" s="72">
        <f t="shared" si="6"/>
        <v>-1.051271354</v>
      </c>
      <c r="X491" s="72">
        <f t="shared" ref="X491:X497" si="57">(W491-W490)/R491*100000</f>
        <v>1.237489054</v>
      </c>
      <c r="Y491" s="71">
        <v>0.0</v>
      </c>
      <c r="Z491" s="60">
        <v>-1.6666666666666667</v>
      </c>
      <c r="AA491" s="85" t="s">
        <v>2522</v>
      </c>
      <c r="AB491" s="74" t="s">
        <v>2366</v>
      </c>
      <c r="AC491" s="75" t="s">
        <v>2518</v>
      </c>
      <c r="AD491" s="74" t="s">
        <v>2523</v>
      </c>
      <c r="AE491" s="75" t="s">
        <v>2383</v>
      </c>
      <c r="AF491" s="61" t="s">
        <v>806</v>
      </c>
      <c r="AG491" s="61" t="s">
        <v>2524</v>
      </c>
      <c r="AH491" s="86">
        <v>9.0</v>
      </c>
      <c r="AI491" s="59"/>
    </row>
    <row r="492">
      <c r="A492" s="78" t="s">
        <v>2525</v>
      </c>
      <c r="B492" s="38">
        <v>1.0</v>
      </c>
      <c r="C492" s="39">
        <v>2.6666666666666665</v>
      </c>
      <c r="D492" s="40">
        <f t="array" ref="D492">IFERROR(INDIRECT("'renta'!G$"&amp;MATCH(T492,renta!$A:$A,0))*0.975-(G492*INDIRECT("'renta'!G$"&amp;MATCH(F492,renta!$A:$A,0)))/B492-IFERROR((J492*INDIRECT("'renta'!G$"&amp;MATCH(I492,renta!$A:$A,0)))/B492,0),)</f>
        <v>-433.2677856</v>
      </c>
      <c r="E492" s="41">
        <f t="shared" si="53"/>
        <v>-13.5396183</v>
      </c>
      <c r="F492" s="40" t="s">
        <v>65</v>
      </c>
      <c r="G492" s="43" t="str">
        <f t="shared" si="54"/>
        <v>9,63</v>
      </c>
      <c r="H492" s="44" t="s">
        <v>2526</v>
      </c>
      <c r="I492" s="40" t="s">
        <v>68</v>
      </c>
      <c r="J492" s="40">
        <f t="shared" si="23"/>
        <v>1.8335</v>
      </c>
      <c r="K492" s="40">
        <v>1.93</v>
      </c>
      <c r="L492" s="38" t="s">
        <v>2350</v>
      </c>
      <c r="M492" s="46">
        <v>850.0</v>
      </c>
      <c r="N492" s="46" t="s">
        <v>2513</v>
      </c>
      <c r="O492" s="42" t="s">
        <v>65</v>
      </c>
      <c r="P492" s="46">
        <v>53.0</v>
      </c>
      <c r="Q492" s="46"/>
      <c r="R492" s="47">
        <f t="array" ref="R492">INDIRECT("'renta'!G$"&amp;MATCH(O492,renta!$A:$A,0))*P492</f>
        <v>23190.19285</v>
      </c>
      <c r="S492" s="48">
        <f t="shared" si="56"/>
        <v>44432.66482</v>
      </c>
      <c r="T492" s="49" t="str">
        <f t="shared" si="25"/>
        <v>FIBERGLASS</v>
      </c>
      <c r="U492" s="50">
        <f t="shared" si="5"/>
        <v>-0.08125066118</v>
      </c>
      <c r="V492" s="80">
        <v>510.0</v>
      </c>
      <c r="W492" s="52">
        <f t="shared" si="6"/>
        <v>-0.8495446776</v>
      </c>
      <c r="X492" s="52">
        <f t="shared" si="57"/>
        <v>0.8698792545</v>
      </c>
      <c r="Y492" s="80">
        <v>0.0</v>
      </c>
      <c r="Z492" s="39">
        <v>-1.1666666666666667</v>
      </c>
      <c r="AA492" s="81" t="s">
        <v>2115</v>
      </c>
      <c r="AB492" s="82" t="s">
        <v>2527</v>
      </c>
      <c r="AC492" s="54" t="s">
        <v>2528</v>
      </c>
      <c r="AD492" s="82" t="s">
        <v>2484</v>
      </c>
      <c r="AE492" s="54" t="s">
        <v>2383</v>
      </c>
      <c r="AF492" s="40" t="s">
        <v>806</v>
      </c>
      <c r="AG492" s="40" t="s">
        <v>2529</v>
      </c>
      <c r="AH492" s="87">
        <v>9.0</v>
      </c>
      <c r="AI492" s="38"/>
    </row>
    <row r="493">
      <c r="A493" s="58" t="s">
        <v>2530</v>
      </c>
      <c r="B493" s="59">
        <v>1.0</v>
      </c>
      <c r="C493" s="60">
        <v>2.0</v>
      </c>
      <c r="D493" s="61">
        <f t="array" ref="D493">IFERROR(INDIRECT("'renta'!G$"&amp;MATCH(T493,renta!$A:$A,0))*0.975-(G493*INDIRECT("'renta'!G$"&amp;MATCH(F493,renta!$A:$A,0)))/B493-IFERROR((J493*INDIRECT("'renta'!G$"&amp;MATCH(I493,renta!$A:$A,0)))/B493,0),)</f>
        <v>-303.0121724</v>
      </c>
      <c r="E493" s="41">
        <f t="shared" si="53"/>
        <v>-12.62550718</v>
      </c>
      <c r="F493" s="61" t="s">
        <v>65</v>
      </c>
      <c r="G493" s="62" t="str">
        <f t="shared" si="54"/>
        <v>9,49</v>
      </c>
      <c r="H493" s="63" t="s">
        <v>2531</v>
      </c>
      <c r="I493" s="61" t="s">
        <v>68</v>
      </c>
      <c r="J493" s="61">
        <f t="shared" si="23"/>
        <v>1.805</v>
      </c>
      <c r="K493" s="61">
        <v>1.9</v>
      </c>
      <c r="L493" s="59" t="s">
        <v>2355</v>
      </c>
      <c r="M493" s="65">
        <v>850.0</v>
      </c>
      <c r="N493" s="65" t="s">
        <v>2513</v>
      </c>
      <c r="O493" s="66" t="s">
        <v>65</v>
      </c>
      <c r="P493" s="65">
        <v>69.0</v>
      </c>
      <c r="Q493" s="65"/>
      <c r="R493" s="67">
        <f t="array" ref="R493">INDIRECT("'renta'!G$"&amp;MATCH(O493,renta!$A:$A,0))*P493</f>
        <v>30191.00578</v>
      </c>
      <c r="S493" s="68">
        <f t="shared" si="56"/>
        <v>74623.6706</v>
      </c>
      <c r="T493" s="69" t="str">
        <f t="shared" si="25"/>
        <v>FIBERGLASS</v>
      </c>
      <c r="U493" s="70">
        <f t="shared" si="5"/>
        <v>0.03027759734</v>
      </c>
      <c r="V493" s="71">
        <v>510.0</v>
      </c>
      <c r="W493" s="72">
        <f t="shared" si="6"/>
        <v>-0.5941415145</v>
      </c>
      <c r="X493" s="72">
        <f t="shared" si="57"/>
        <v>0.8459577827</v>
      </c>
      <c r="Y493" s="71">
        <v>0.0</v>
      </c>
      <c r="Z493" s="60">
        <v>-0.6666666666666666</v>
      </c>
      <c r="AA493" s="85" t="s">
        <v>1465</v>
      </c>
      <c r="AB493" s="74" t="s">
        <v>2532</v>
      </c>
      <c r="AC493" s="75" t="s">
        <v>2248</v>
      </c>
      <c r="AD493" s="74" t="s">
        <v>2489</v>
      </c>
      <c r="AE493" s="75" t="s">
        <v>2533</v>
      </c>
      <c r="AF493" s="61" t="s">
        <v>806</v>
      </c>
      <c r="AG493" s="61" t="s">
        <v>2534</v>
      </c>
      <c r="AH493" s="86">
        <v>9.0</v>
      </c>
      <c r="AI493" s="59"/>
    </row>
    <row r="494">
      <c r="A494" s="78" t="s">
        <v>2535</v>
      </c>
      <c r="B494" s="38">
        <v>1.0</v>
      </c>
      <c r="C494" s="39">
        <v>1.5</v>
      </c>
      <c r="D494" s="40">
        <f t="array" ref="D494">IFERROR(INDIRECT("'renta'!G$"&amp;MATCH(T494,renta!$A:$A,0))*0.975-(G494*INDIRECT("'renta'!G$"&amp;MATCH(F494,renta!$A:$A,0)))/B494-IFERROR((J494*INDIRECT("'renta'!G$"&amp;MATCH(I494,renta!$A:$A,0)))/B494,0),)</f>
        <v>-172.7565592</v>
      </c>
      <c r="E494" s="41">
        <f t="shared" si="53"/>
        <v>-9.597586622</v>
      </c>
      <c r="F494" s="40" t="s">
        <v>65</v>
      </c>
      <c r="G494" s="43" t="str">
        <f t="shared" si="54"/>
        <v>9,35</v>
      </c>
      <c r="H494" s="44" t="s">
        <v>2012</v>
      </c>
      <c r="I494" s="40" t="s">
        <v>68</v>
      </c>
      <c r="J494" s="40">
        <f t="shared" si="23"/>
        <v>1.7765</v>
      </c>
      <c r="K494" s="40">
        <v>1.87</v>
      </c>
      <c r="L494" s="38" t="s">
        <v>2360</v>
      </c>
      <c r="M494" s="46">
        <v>850.0</v>
      </c>
      <c r="N494" s="46" t="s">
        <v>2513</v>
      </c>
      <c r="O494" s="42" t="s">
        <v>68</v>
      </c>
      <c r="P494" s="46">
        <v>14.0</v>
      </c>
      <c r="Q494" s="46"/>
      <c r="R494" s="47">
        <f t="array" ref="R494">INDIRECT("'renta'!G$"&amp;MATCH(O494,renta!$A:$A,0))*P494</f>
        <v>33894</v>
      </c>
      <c r="S494" s="48">
        <f t="shared" si="56"/>
        <v>108517.6706</v>
      </c>
      <c r="T494" s="49" t="str">
        <f t="shared" si="25"/>
        <v>FIBERGLASS</v>
      </c>
      <c r="U494" s="50">
        <f t="shared" si="5"/>
        <v>0.08933500208</v>
      </c>
      <c r="V494" s="80">
        <v>510.0</v>
      </c>
      <c r="W494" s="52">
        <f t="shared" si="6"/>
        <v>-0.3387383514</v>
      </c>
      <c r="X494" s="52">
        <f t="shared" si="57"/>
        <v>0.7535350301</v>
      </c>
      <c r="Y494" s="80">
        <v>0.0</v>
      </c>
      <c r="Z494" s="39">
        <v>-0.5</v>
      </c>
      <c r="AA494" s="81" t="s">
        <v>1465</v>
      </c>
      <c r="AB494" s="82" t="s">
        <v>2450</v>
      </c>
      <c r="AC494" s="54" t="s">
        <v>2319</v>
      </c>
      <c r="AD494" s="82" t="s">
        <v>407</v>
      </c>
      <c r="AE494" s="54" t="s">
        <v>2536</v>
      </c>
      <c r="AF494" s="40" t="s">
        <v>806</v>
      </c>
      <c r="AG494" s="40" t="s">
        <v>2329</v>
      </c>
      <c r="AH494" s="87">
        <v>9.0</v>
      </c>
      <c r="AI494" s="38"/>
    </row>
    <row r="495">
      <c r="A495" s="58" t="s">
        <v>2537</v>
      </c>
      <c r="B495" s="59">
        <v>1.0</v>
      </c>
      <c r="C495" s="60">
        <v>1.1666666666666667</v>
      </c>
      <c r="D495" s="61">
        <f t="array" ref="D495">IFERROR(INDIRECT("'renta'!G$"&amp;MATCH(T495,renta!$A:$A,0))*0.975-(G495*INDIRECT("'renta'!G$"&amp;MATCH(F495,renta!$A:$A,0)))/B495-IFERROR((J495*INDIRECT("'renta'!G$"&amp;MATCH(I495,renta!$A:$A,0)))/B495,0),)</f>
        <v>-33.74992984</v>
      </c>
      <c r="E495" s="41">
        <f t="shared" si="53"/>
        <v>-2.410709274</v>
      </c>
      <c r="F495" s="61" t="s">
        <v>65</v>
      </c>
      <c r="G495" s="62" t="str">
        <f t="shared" si="54"/>
        <v>9,19</v>
      </c>
      <c r="H495" s="63" t="s">
        <v>2538</v>
      </c>
      <c r="I495" s="61" t="s">
        <v>68</v>
      </c>
      <c r="J495" s="61">
        <f t="shared" si="23"/>
        <v>1.748</v>
      </c>
      <c r="K495" s="61">
        <v>1.84</v>
      </c>
      <c r="L495" s="59" t="s">
        <v>2365</v>
      </c>
      <c r="M495" s="65">
        <v>850.0</v>
      </c>
      <c r="N495" s="65" t="s">
        <v>2513</v>
      </c>
      <c r="O495" s="66" t="s">
        <v>68</v>
      </c>
      <c r="P495" s="65">
        <v>20.0</v>
      </c>
      <c r="Q495" s="65"/>
      <c r="R495" s="67">
        <f t="array" ref="R495">INDIRECT("'renta'!G$"&amp;MATCH(O495,renta!$A:$A,0))*P495</f>
        <v>48420</v>
      </c>
      <c r="S495" s="68">
        <f t="shared" si="56"/>
        <v>156937.6706</v>
      </c>
      <c r="T495" s="69" t="str">
        <f t="shared" si="25"/>
        <v>FIBERGLASS</v>
      </c>
      <c r="U495" s="70">
        <f t="shared" si="5"/>
        <v>0.1484278676</v>
      </c>
      <c r="V495" s="71">
        <v>510.0</v>
      </c>
      <c r="W495" s="72">
        <f t="shared" si="6"/>
        <v>-0.06617633302</v>
      </c>
      <c r="X495" s="72">
        <f t="shared" si="57"/>
        <v>0.5629120577</v>
      </c>
      <c r="Y495" s="71">
        <v>0.0</v>
      </c>
      <c r="Z495" s="60">
        <v>-0.3333333333333333</v>
      </c>
      <c r="AA495" s="85" t="s">
        <v>2346</v>
      </c>
      <c r="AB495" s="74" t="s">
        <v>2455</v>
      </c>
      <c r="AC495" s="75" t="s">
        <v>2539</v>
      </c>
      <c r="AD495" s="74" t="s">
        <v>2498</v>
      </c>
      <c r="AE495" s="75" t="s">
        <v>2266</v>
      </c>
      <c r="AF495" s="61" t="s">
        <v>806</v>
      </c>
      <c r="AG495" s="61" t="s">
        <v>2540</v>
      </c>
      <c r="AH495" s="86">
        <v>9.0</v>
      </c>
      <c r="AI495" s="59"/>
    </row>
    <row r="496">
      <c r="A496" s="78" t="s">
        <v>2541</v>
      </c>
      <c r="B496" s="38">
        <v>1.0</v>
      </c>
      <c r="C496" s="39">
        <v>0.9166666666666666</v>
      </c>
      <c r="D496" s="40">
        <f t="array" ref="D496">IFERROR(INDIRECT("'renta'!G$"&amp;MATCH(T496,renta!$A:$A,0))*0.975-(G496*INDIRECT("'renta'!G$"&amp;MATCH(F496,renta!$A:$A,0)))/B496-IFERROR((J496*INDIRECT("'renta'!G$"&amp;MATCH(I496,renta!$A:$A,0)))/B496,0),)</f>
        <v>118.3832238</v>
      </c>
      <c r="E496" s="41">
        <v>0.0</v>
      </c>
      <c r="F496" s="40" t="s">
        <v>65</v>
      </c>
      <c r="G496" s="43" t="str">
        <f t="shared" si="54"/>
        <v>9</v>
      </c>
      <c r="H496" s="44" t="s">
        <v>2542</v>
      </c>
      <c r="I496" s="40" t="s">
        <v>68</v>
      </c>
      <c r="J496" s="40">
        <f t="shared" si="23"/>
        <v>1.7195</v>
      </c>
      <c r="K496" s="40">
        <v>1.81</v>
      </c>
      <c r="L496" s="38" t="s">
        <v>2370</v>
      </c>
      <c r="M496" s="46">
        <v>850.0</v>
      </c>
      <c r="N496" s="46" t="s">
        <v>2513</v>
      </c>
      <c r="O496" s="42" t="s">
        <v>68</v>
      </c>
      <c r="P496" s="46">
        <v>30.0</v>
      </c>
      <c r="Q496" s="46"/>
      <c r="R496" s="47">
        <f t="array" ref="R496">INDIRECT("'renta'!G$"&amp;MATCH(O496,renta!$A:$A,0))*P496</f>
        <v>72630</v>
      </c>
      <c r="S496" s="48">
        <f t="shared" si="56"/>
        <v>229567.6706</v>
      </c>
      <c r="T496" s="49" t="str">
        <f t="shared" si="25"/>
        <v>FIBERGLASS</v>
      </c>
      <c r="U496" s="50">
        <f t="shared" si="5"/>
        <v>0.03319164635</v>
      </c>
      <c r="V496" s="80">
        <v>510.0</v>
      </c>
      <c r="W496" s="52">
        <f t="shared" si="6"/>
        <v>0.2321239682</v>
      </c>
      <c r="X496" s="52">
        <f t="shared" si="57"/>
        <v>0.4107122418</v>
      </c>
      <c r="Y496" s="80">
        <v>0.0</v>
      </c>
      <c r="Z496" s="39">
        <v>-0.25</v>
      </c>
      <c r="AA496" s="81" t="s">
        <v>2434</v>
      </c>
      <c r="AB496" s="82" t="s">
        <v>2543</v>
      </c>
      <c r="AC496" s="54" t="s">
        <v>2544</v>
      </c>
      <c r="AD496" s="82" t="s">
        <v>2502</v>
      </c>
      <c r="AE496" s="54" t="s">
        <v>2488</v>
      </c>
      <c r="AF496" s="40" t="s">
        <v>806</v>
      </c>
      <c r="AG496" s="40" t="s">
        <v>2545</v>
      </c>
      <c r="AH496" s="87">
        <v>9.0</v>
      </c>
      <c r="AI496" s="38"/>
    </row>
    <row r="497">
      <c r="A497" s="58" t="s">
        <v>2546</v>
      </c>
      <c r="B497" s="59">
        <v>1.0</v>
      </c>
      <c r="C497" s="60">
        <v>0.7083333333333334</v>
      </c>
      <c r="D497" s="61">
        <f t="array" ref="D497">IFERROR(INDIRECT("'renta'!G$"&amp;MATCH(T497,renta!$A:$A,0))*0.975-(G497*INDIRECT("'renta'!G$"&amp;MATCH(F497,renta!$A:$A,0)))/B497-IFERROR((J497*INDIRECT("'renta'!G$"&amp;MATCH(I497,renta!$A:$A,0)))/B497,0),)</f>
        <v>267.2628289</v>
      </c>
      <c r="E497" s="41">
        <v>0.0</v>
      </c>
      <c r="F497" s="61" t="s">
        <v>65</v>
      </c>
      <c r="G497" s="62" t="str">
        <f t="shared" si="54"/>
        <v>8,87</v>
      </c>
      <c r="H497" s="63" t="s">
        <v>2547</v>
      </c>
      <c r="I497" s="61" t="s">
        <v>68</v>
      </c>
      <c r="J497" s="61">
        <f t="shared" si="23"/>
        <v>1.6815</v>
      </c>
      <c r="K497" s="61">
        <v>1.77</v>
      </c>
      <c r="L497" s="59" t="s">
        <v>2375</v>
      </c>
      <c r="M497" s="65">
        <v>850.0</v>
      </c>
      <c r="N497" s="65" t="s">
        <v>2513</v>
      </c>
      <c r="O497" s="66" t="s">
        <v>68</v>
      </c>
      <c r="P497" s="65">
        <v>47.0</v>
      </c>
      <c r="Q497" s="65"/>
      <c r="R497" s="67">
        <f t="array" ref="R497">INDIRECT("'renta'!G$"&amp;MATCH(O497,renta!$A:$A,0))*P497</f>
        <v>113787</v>
      </c>
      <c r="S497" s="68">
        <f t="shared" si="56"/>
        <v>343354.6706</v>
      </c>
      <c r="T497" s="69" t="str">
        <f t="shared" si="25"/>
        <v>FIBERGLASS</v>
      </c>
      <c r="U497" s="70">
        <f t="shared" si="5"/>
        <v>0</v>
      </c>
      <c r="V497" s="71">
        <v>510.0</v>
      </c>
      <c r="W497" s="72">
        <f t="shared" si="6"/>
        <v>0.5240447625</v>
      </c>
      <c r="X497" s="72">
        <f t="shared" si="57"/>
        <v>0.256550216</v>
      </c>
      <c r="Y497" s="71">
        <v>0.0</v>
      </c>
      <c r="Z497" s="60">
        <v>-0.20833333333333334</v>
      </c>
      <c r="AA497" s="85" t="s">
        <v>2505</v>
      </c>
      <c r="AB497" s="74" t="s">
        <v>1738</v>
      </c>
      <c r="AC497" s="75" t="s">
        <v>1246</v>
      </c>
      <c r="AD497" s="74" t="s">
        <v>2137</v>
      </c>
      <c r="AE497" s="75" t="s">
        <v>1899</v>
      </c>
      <c r="AF497" s="61" t="s">
        <v>806</v>
      </c>
      <c r="AG497" s="61" t="s">
        <v>2548</v>
      </c>
      <c r="AH497" s="86">
        <v>9.0</v>
      </c>
      <c r="AI497" s="59"/>
    </row>
    <row r="498">
      <c r="A498" s="78" t="s">
        <v>2549</v>
      </c>
      <c r="B498" s="38">
        <v>1.0</v>
      </c>
      <c r="C498" s="39">
        <v>0.5</v>
      </c>
      <c r="D498" s="40">
        <f t="array" ref="D498">IFERROR(INDIRECT("'renta'!G$"&amp;MATCH(T498,renta!$A:$A,0))*0.975-(G498*INDIRECT("'renta'!G$"&amp;MATCH(F498,renta!$A:$A,0)))/B498-IFERROR((J498*INDIRECT("'renta'!G$"&amp;MATCH(I498,renta!$A:$A,0)))/B498,0),)</f>
        <v>410.6449663</v>
      </c>
      <c r="E498" s="41">
        <v>0.0</v>
      </c>
      <c r="F498" s="40" t="s">
        <v>65</v>
      </c>
      <c r="G498" s="43" t="str">
        <f t="shared" si="54"/>
        <v>8,70</v>
      </c>
      <c r="H498" s="44" t="s">
        <v>2331</v>
      </c>
      <c r="I498" s="40" t="s">
        <v>68</v>
      </c>
      <c r="J498" s="40">
        <f t="shared" si="23"/>
        <v>1.653</v>
      </c>
      <c r="K498" s="40">
        <v>1.74</v>
      </c>
      <c r="L498" s="38" t="s">
        <v>1366</v>
      </c>
      <c r="M498" s="46">
        <v>850.0</v>
      </c>
      <c r="N498" s="46" t="s">
        <v>2513</v>
      </c>
      <c r="O498" s="42" t="s">
        <v>72</v>
      </c>
      <c r="P498" s="46">
        <v>21.0</v>
      </c>
      <c r="Q498" s="46"/>
      <c r="R498" s="47">
        <f t="array" ref="R498">INDIRECT("'renta'!G$"&amp;MATCH(O498,renta!$A:$A,0))*P498</f>
        <v>177030</v>
      </c>
      <c r="S498" s="48">
        <f t="shared" si="56"/>
        <v>520384.6706</v>
      </c>
      <c r="T498" s="49" t="str">
        <f t="shared" si="25"/>
        <v>FIBERGLASS</v>
      </c>
      <c r="U498" s="50">
        <f t="shared" si="5"/>
        <v>0</v>
      </c>
      <c r="V498" s="80">
        <v>510.0</v>
      </c>
      <c r="W498" s="52">
        <f t="shared" si="6"/>
        <v>0.8051862085</v>
      </c>
      <c r="X498" s="52"/>
      <c r="Y498" s="80">
        <v>0.0</v>
      </c>
      <c r="Z498" s="39">
        <v>-0.20833333333333334</v>
      </c>
      <c r="AA498" s="81" t="s">
        <v>405</v>
      </c>
      <c r="AB498" s="82" t="s">
        <v>2550</v>
      </c>
      <c r="AC498" s="54" t="s">
        <v>1761</v>
      </c>
      <c r="AD498" s="82" t="s">
        <v>2510</v>
      </c>
      <c r="AE498" s="54" t="s">
        <v>2244</v>
      </c>
      <c r="AF498" s="40" t="s">
        <v>806</v>
      </c>
      <c r="AG498" s="40" t="s">
        <v>2551</v>
      </c>
      <c r="AH498" s="87">
        <v>9.0</v>
      </c>
      <c r="AI498" s="38"/>
    </row>
    <row r="499">
      <c r="A499" s="96"/>
      <c r="B499" s="97"/>
      <c r="C499" s="98"/>
      <c r="D499" s="61" t="str">
        <f t="array" ref="D499">IFERROR(INDIRECT("'renta'!G$"&amp;MATCH(T499,renta!$A:$A,0))*0.975-(G499*INDIRECT("'renta'!G$"&amp;MATCH(F499,renta!$A:$A,0)))/B499-IFERROR((J499*INDIRECT("'renta'!G$"&amp;MATCH(I499,renta!$A:$A,0)))/B499,0),)</f>
        <v/>
      </c>
      <c r="E499" s="41">
        <f t="shared" ref="E499:E521" si="58">IFERROR( D499/C499/24*B499*2*(1+AI499),0)</f>
        <v>0</v>
      </c>
      <c r="F499" s="64"/>
      <c r="G499" s="62" t="str">
        <f t="shared" si="54"/>
        <v/>
      </c>
      <c r="H499" s="99"/>
      <c r="I499" s="64"/>
      <c r="J499" s="61">
        <f t="shared" si="23"/>
        <v>0</v>
      </c>
      <c r="K499" s="64"/>
      <c r="L499" s="100"/>
      <c r="M499" s="101"/>
      <c r="N499" s="101"/>
      <c r="O499" s="102"/>
      <c r="P499" s="101"/>
      <c r="Q499" s="101"/>
      <c r="R499" s="67"/>
      <c r="S499" s="68"/>
      <c r="T499" s="69" t="str">
        <f t="shared" si="25"/>
        <v/>
      </c>
      <c r="U499" s="70" t="str">
        <f t="shared" si="5"/>
        <v>#DIV/0!</v>
      </c>
      <c r="V499" s="103"/>
      <c r="W499" s="72" t="str">
        <f t="shared" si="6"/>
        <v/>
      </c>
      <c r="X499" s="72"/>
      <c r="Y499" s="103"/>
      <c r="Z499" s="98"/>
      <c r="AA499" s="104"/>
      <c r="AB499" s="70"/>
      <c r="AC499" s="76"/>
      <c r="AD499" s="70"/>
      <c r="AE499" s="76"/>
      <c r="AF499" s="64"/>
      <c r="AG499" s="64"/>
      <c r="AH499" s="77"/>
      <c r="AI499" s="98"/>
    </row>
    <row r="500">
      <c r="A500" s="78" t="s">
        <v>2552</v>
      </c>
      <c r="B500" s="38">
        <v>1.0</v>
      </c>
      <c r="C500" s="39">
        <v>9.0</v>
      </c>
      <c r="D500" s="40">
        <f t="array" ref="D500">IFERROR(INDIRECT("'renta'!G$"&amp;MATCH(T500,renta!$A:$A,0))*0.975-(G500*INDIRECT("'renta'!G$"&amp;MATCH(F500,renta!$A:$A,0)))/B500-IFERROR((J500*INDIRECT("'renta'!G$"&amp;MATCH(I500,renta!$A:$A,0)))/B500,0),)</f>
        <v>-755.6956006</v>
      </c>
      <c r="E500" s="41">
        <f t="shared" si="58"/>
        <v>-6.997181487</v>
      </c>
      <c r="F500" s="40" t="s">
        <v>55</v>
      </c>
      <c r="G500" s="43" t="str">
        <f t="shared" si="54"/>
        <v>2,00</v>
      </c>
      <c r="H500" s="44" t="s">
        <v>1898</v>
      </c>
      <c r="I500" s="40" t="s">
        <v>57</v>
      </c>
      <c r="J500" s="40">
        <f t="shared" si="23"/>
        <v>68.4</v>
      </c>
      <c r="K500" s="40">
        <v>72.0</v>
      </c>
      <c r="L500" s="38" t="s">
        <v>137</v>
      </c>
      <c r="M500" s="46" t="s">
        <v>2553</v>
      </c>
      <c r="N500" s="46" t="s">
        <v>2554</v>
      </c>
      <c r="O500" s="42" t="s">
        <v>12</v>
      </c>
      <c r="P500" s="46">
        <v>1.0</v>
      </c>
      <c r="Q500" s="48">
        <f t="shared" ref="Q500:Q509" si="59">SUM(P$500:P500)</f>
        <v>1</v>
      </c>
      <c r="R500" s="47">
        <f t="array" ref="R500">INDIRECT("'renta'!G$"&amp;MATCH(O500,renta!$A:$A,0))*P500</f>
        <v>0.0041</v>
      </c>
      <c r="S500" s="48">
        <f t="shared" ref="S500:S509" si="60">SUM(R$500:R500)</f>
        <v>0.0041</v>
      </c>
      <c r="T500" s="49" t="str">
        <f t="shared" si="25"/>
        <v>ENERGY</v>
      </c>
      <c r="U500" s="50">
        <f t="shared" si="5"/>
        <v>-1706629.631</v>
      </c>
      <c r="V500" s="80">
        <v>550.0</v>
      </c>
      <c r="W500" s="52">
        <f t="shared" si="6"/>
        <v>-1.373992001</v>
      </c>
      <c r="X500" s="52"/>
      <c r="Y500" s="80">
        <v>0.0</v>
      </c>
      <c r="Z500" s="39">
        <v>0.0</v>
      </c>
      <c r="AA500" s="53">
        <v>0.0</v>
      </c>
      <c r="AB500" s="82" t="s">
        <v>2473</v>
      </c>
      <c r="AC500" s="54" t="s">
        <v>595</v>
      </c>
      <c r="AD500" s="82" t="s">
        <v>1716</v>
      </c>
      <c r="AE500" s="54" t="s">
        <v>1371</v>
      </c>
      <c r="AF500" s="40" t="s">
        <v>806</v>
      </c>
      <c r="AG500" s="40" t="s">
        <v>2555</v>
      </c>
      <c r="AH500" s="87">
        <v>9.0</v>
      </c>
      <c r="AI500" s="39"/>
    </row>
    <row r="501">
      <c r="A501" s="58" t="s">
        <v>2556</v>
      </c>
      <c r="B501" s="59">
        <v>1.0</v>
      </c>
      <c r="C501" s="60">
        <v>6.0</v>
      </c>
      <c r="D501" s="61">
        <f t="array" ref="D501">IFERROR(INDIRECT("'renta'!G$"&amp;MATCH(T501,renta!$A:$A,0))*0.975-(G501*INDIRECT("'renta'!G$"&amp;MATCH(F501,renta!$A:$A,0)))/B501-IFERROR((J501*INDIRECT("'renta'!G$"&amp;MATCH(I501,renta!$A:$A,0)))/B501,0),)</f>
        <v>-651.0986683</v>
      </c>
      <c r="E501" s="41">
        <f t="shared" si="58"/>
        <v>-9.043037059</v>
      </c>
      <c r="F501" s="61" t="s">
        <v>55</v>
      </c>
      <c r="G501" s="62" t="str">
        <f t="shared" si="54"/>
        <v>1,98</v>
      </c>
      <c r="H501" s="63" t="s">
        <v>1902</v>
      </c>
      <c r="I501" s="61" t="s">
        <v>57</v>
      </c>
      <c r="J501" s="61">
        <f t="shared" si="23"/>
        <v>67.602</v>
      </c>
      <c r="K501" s="61">
        <v>71.16</v>
      </c>
      <c r="L501" s="59" t="s">
        <v>2339</v>
      </c>
      <c r="M501" s="65" t="s">
        <v>2553</v>
      </c>
      <c r="N501" s="65" t="s">
        <v>2554</v>
      </c>
      <c r="O501" s="66" t="s">
        <v>34</v>
      </c>
      <c r="P501" s="65">
        <v>15.0</v>
      </c>
      <c r="Q501" s="68">
        <f t="shared" si="59"/>
        <v>16</v>
      </c>
      <c r="R501" s="67">
        <f t="array" ref="R501">INDIRECT("'renta'!G$"&amp;MATCH(O501,renta!$A:$A,0))*P501</f>
        <v>1990.232295</v>
      </c>
      <c r="S501" s="68">
        <f t="shared" si="60"/>
        <v>1990.236395</v>
      </c>
      <c r="T501" s="69" t="str">
        <f t="shared" si="25"/>
        <v>ENERGY</v>
      </c>
      <c r="U501" s="70">
        <f t="shared" si="5"/>
        <v>-1.027948133</v>
      </c>
      <c r="V501" s="71">
        <v>550.0</v>
      </c>
      <c r="W501" s="72">
        <f t="shared" si="6"/>
        <v>-1.183815761</v>
      </c>
      <c r="X501" s="72">
        <f t="shared" ref="X501:X508" si="61">(W501-W500)/R501*100000</f>
        <v>9.555479584</v>
      </c>
      <c r="Y501" s="71">
        <v>0.0</v>
      </c>
      <c r="Z501" s="60">
        <v>-3.0</v>
      </c>
      <c r="AA501" s="73">
        <v>0.5</v>
      </c>
      <c r="AB501" s="74" t="s">
        <v>707</v>
      </c>
      <c r="AC501" s="75" t="s">
        <v>2336</v>
      </c>
      <c r="AD501" s="74" t="s">
        <v>2557</v>
      </c>
      <c r="AE501" s="75" t="s">
        <v>1834</v>
      </c>
      <c r="AF501" s="61" t="s">
        <v>806</v>
      </c>
      <c r="AG501" s="61" t="s">
        <v>2558</v>
      </c>
      <c r="AH501" s="86">
        <v>9.0</v>
      </c>
      <c r="AI501" s="60"/>
    </row>
    <row r="502">
      <c r="A502" s="78" t="s">
        <v>2559</v>
      </c>
      <c r="B502" s="38">
        <v>1.0</v>
      </c>
      <c r="C502" s="39">
        <v>4.0</v>
      </c>
      <c r="D502" s="40">
        <f t="array" ref="D502">IFERROR(INDIRECT("'renta'!G$"&amp;MATCH(T502,renta!$A:$A,0))*0.975-(G502*INDIRECT("'renta'!G$"&amp;MATCH(F502,renta!$A:$A,0)))/B502-IFERROR((J502*INDIRECT("'renta'!G$"&amp;MATCH(I502,renta!$A:$A,0)))/B502,0),)</f>
        <v>-515.4512453</v>
      </c>
      <c r="E502" s="41">
        <f t="shared" si="58"/>
        <v>-10.73856761</v>
      </c>
      <c r="F502" s="40" t="s">
        <v>55</v>
      </c>
      <c r="G502" s="43" t="str">
        <f t="shared" si="54"/>
        <v>1,95</v>
      </c>
      <c r="H502" s="44" t="s">
        <v>2391</v>
      </c>
      <c r="I502" s="40" t="s">
        <v>57</v>
      </c>
      <c r="J502" s="40">
        <f t="shared" si="23"/>
        <v>66.7565</v>
      </c>
      <c r="K502" s="40">
        <v>70.27</v>
      </c>
      <c r="L502" s="38" t="s">
        <v>2345</v>
      </c>
      <c r="M502" s="46" t="s">
        <v>2553</v>
      </c>
      <c r="N502" s="46" t="s">
        <v>2554</v>
      </c>
      <c r="O502" s="42" t="s">
        <v>34</v>
      </c>
      <c r="P502" s="46">
        <v>18.0</v>
      </c>
      <c r="Q502" s="48">
        <f t="shared" si="59"/>
        <v>34</v>
      </c>
      <c r="R502" s="47">
        <f t="array" ref="R502">INDIRECT("'renta'!G$"&amp;MATCH(O502,renta!$A:$A,0))*P502</f>
        <v>2388.278754</v>
      </c>
      <c r="S502" s="48">
        <f t="shared" si="60"/>
        <v>4378.515149</v>
      </c>
      <c r="T502" s="49" t="str">
        <f t="shared" si="25"/>
        <v>ENERGY</v>
      </c>
      <c r="U502" s="50">
        <f t="shared" si="5"/>
        <v>-0.7099382968</v>
      </c>
      <c r="V502" s="80">
        <v>550.0</v>
      </c>
      <c r="W502" s="52">
        <f t="shared" si="6"/>
        <v>-0.9371840824</v>
      </c>
      <c r="X502" s="52">
        <f t="shared" si="61"/>
        <v>10.32675427</v>
      </c>
      <c r="Y502" s="80">
        <v>0.0</v>
      </c>
      <c r="Z502" s="39">
        <v>-2.0</v>
      </c>
      <c r="AA502" s="53">
        <v>0.5</v>
      </c>
      <c r="AB502" s="82" t="s">
        <v>2560</v>
      </c>
      <c r="AC502" s="54" t="s">
        <v>2561</v>
      </c>
      <c r="AD502" s="82" t="s">
        <v>2562</v>
      </c>
      <c r="AE502" s="54" t="s">
        <v>1420</v>
      </c>
      <c r="AF502" s="40" t="s">
        <v>806</v>
      </c>
      <c r="AG502" s="40" t="s">
        <v>2563</v>
      </c>
      <c r="AH502" s="87">
        <v>9.0</v>
      </c>
      <c r="AI502" s="39"/>
    </row>
    <row r="503">
      <c r="A503" s="58" t="s">
        <v>2564</v>
      </c>
      <c r="B503" s="59">
        <v>1.0</v>
      </c>
      <c r="C503" s="60">
        <v>2.6666666666666665</v>
      </c>
      <c r="D503" s="61">
        <f t="array" ref="D503">IFERROR(INDIRECT("'renta'!G$"&amp;MATCH(T503,renta!$A:$A,0))*0.975-(G503*INDIRECT("'renta'!G$"&amp;MATCH(F503,renta!$A:$A,0)))/B503-IFERROR((J503*INDIRECT("'renta'!G$"&amp;MATCH(I503,renta!$A:$A,0)))/B503,0),)</f>
        <v>-405.1116169</v>
      </c>
      <c r="E503" s="41">
        <f t="shared" si="58"/>
        <v>-12.65973803</v>
      </c>
      <c r="F503" s="61" t="s">
        <v>55</v>
      </c>
      <c r="G503" s="62" t="str">
        <f t="shared" si="54"/>
        <v>1,93</v>
      </c>
      <c r="H503" s="63" t="s">
        <v>2395</v>
      </c>
      <c r="I503" s="61" t="s">
        <v>57</v>
      </c>
      <c r="J503" s="61">
        <f t="shared" si="23"/>
        <v>65.8635</v>
      </c>
      <c r="K503" s="61">
        <v>69.33</v>
      </c>
      <c r="L503" s="59" t="s">
        <v>2350</v>
      </c>
      <c r="M503" s="65" t="s">
        <v>2553</v>
      </c>
      <c r="N503" s="65" t="s">
        <v>2554</v>
      </c>
      <c r="O503" s="66" t="s">
        <v>34</v>
      </c>
      <c r="P503" s="65">
        <v>21.0</v>
      </c>
      <c r="Q503" s="68">
        <f t="shared" si="59"/>
        <v>55</v>
      </c>
      <c r="R503" s="67">
        <f t="array" ref="R503">INDIRECT("'renta'!G$"&amp;MATCH(O503,renta!$A:$A,0))*P503</f>
        <v>2786.325213</v>
      </c>
      <c r="S503" s="68">
        <f t="shared" si="60"/>
        <v>7164.840363</v>
      </c>
      <c r="T503" s="69" t="str">
        <f t="shared" si="25"/>
        <v>ENERGY</v>
      </c>
      <c r="U503" s="70">
        <f t="shared" si="5"/>
        <v>-0.6894997064</v>
      </c>
      <c r="V503" s="71">
        <v>550.0</v>
      </c>
      <c r="W503" s="72">
        <f t="shared" si="6"/>
        <v>-0.7365665761</v>
      </c>
      <c r="X503" s="72">
        <f t="shared" si="61"/>
        <v>7.200075042</v>
      </c>
      <c r="Y503" s="71">
        <v>0.0</v>
      </c>
      <c r="Z503" s="60">
        <v>-1.3333333333333333</v>
      </c>
      <c r="AA503" s="73">
        <v>0.5</v>
      </c>
      <c r="AB503" s="74" t="s">
        <v>2484</v>
      </c>
      <c r="AC503" s="75" t="s">
        <v>2561</v>
      </c>
      <c r="AD503" s="74" t="s">
        <v>2565</v>
      </c>
      <c r="AE503" s="75" t="s">
        <v>1420</v>
      </c>
      <c r="AF503" s="61" t="s">
        <v>806</v>
      </c>
      <c r="AG503" s="61" t="s">
        <v>2566</v>
      </c>
      <c r="AH503" s="86">
        <v>9.0</v>
      </c>
      <c r="AI503" s="60"/>
    </row>
    <row r="504">
      <c r="A504" s="78" t="s">
        <v>94</v>
      </c>
      <c r="B504" s="38">
        <v>1.0</v>
      </c>
      <c r="C504" s="39">
        <v>2.0</v>
      </c>
      <c r="D504" s="40">
        <f t="array" ref="D504">IFERROR(INDIRECT("'renta'!G$"&amp;MATCH(T504,renta!$A:$A,0))*0.975-(G504*INDIRECT("'renta'!G$"&amp;MATCH(F504,renta!$A:$A,0)))/B504-IFERROR((J504*INDIRECT("'renta'!G$"&amp;MATCH(I504,renta!$A:$A,0)))/B504,0),)</f>
        <v>-263.7214978</v>
      </c>
      <c r="E504" s="41">
        <f t="shared" si="58"/>
        <v>-10.98839574</v>
      </c>
      <c r="F504" s="40" t="s">
        <v>55</v>
      </c>
      <c r="G504" s="43" t="str">
        <f t="shared" si="54"/>
        <v>1,90</v>
      </c>
      <c r="H504" s="44" t="s">
        <v>1927</v>
      </c>
      <c r="I504" s="40" t="s">
        <v>57</v>
      </c>
      <c r="J504" s="40">
        <f t="shared" si="23"/>
        <v>64.923</v>
      </c>
      <c r="K504" s="40">
        <v>68.34</v>
      </c>
      <c r="L504" s="38" t="s">
        <v>2355</v>
      </c>
      <c r="M504" s="46" t="s">
        <v>2553</v>
      </c>
      <c r="N504" s="46" t="s">
        <v>2554</v>
      </c>
      <c r="O504" s="42" t="s">
        <v>34</v>
      </c>
      <c r="P504" s="46">
        <v>27.0</v>
      </c>
      <c r="Q504" s="48">
        <f t="shared" si="59"/>
        <v>82</v>
      </c>
      <c r="R504" s="47">
        <f t="array" ref="R504">INDIRECT("'renta'!G$"&amp;MATCH(O504,renta!$A:$A,0))*P504</f>
        <v>3582.418131</v>
      </c>
      <c r="S504" s="48">
        <f t="shared" si="60"/>
        <v>10747.25849</v>
      </c>
      <c r="T504" s="49" t="str">
        <f t="shared" si="25"/>
        <v>ENERGY</v>
      </c>
      <c r="U504" s="50">
        <f t="shared" si="5"/>
        <v>0.4665402598</v>
      </c>
      <c r="V504" s="80">
        <v>550.0</v>
      </c>
      <c r="W504" s="52">
        <f t="shared" si="6"/>
        <v>-0.4794936323</v>
      </c>
      <c r="X504" s="52">
        <f t="shared" si="61"/>
        <v>7.175961441</v>
      </c>
      <c r="Y504" s="80">
        <v>0.0</v>
      </c>
      <c r="Z504" s="39">
        <v>-0.6666666666666666</v>
      </c>
      <c r="AA504" s="81" t="s">
        <v>1465</v>
      </c>
      <c r="AB504" s="82" t="s">
        <v>2489</v>
      </c>
      <c r="AC504" s="54" t="s">
        <v>2567</v>
      </c>
      <c r="AD504" s="82" t="s">
        <v>2568</v>
      </c>
      <c r="AE504" s="54" t="s">
        <v>1846</v>
      </c>
      <c r="AF504" s="40" t="s">
        <v>806</v>
      </c>
      <c r="AG504" s="40" t="s">
        <v>2569</v>
      </c>
      <c r="AH504" s="87">
        <v>9.0</v>
      </c>
      <c r="AI504" s="39"/>
    </row>
    <row r="505">
      <c r="A505" s="58" t="s">
        <v>2570</v>
      </c>
      <c r="B505" s="59">
        <v>1.0</v>
      </c>
      <c r="C505" s="60">
        <v>1.5</v>
      </c>
      <c r="D505" s="61">
        <f t="array" ref="D505">IFERROR(INDIRECT("'renta'!G$"&amp;MATCH(T505,renta!$A:$A,0))*0.975-(G505*INDIRECT("'renta'!G$"&amp;MATCH(F505,renta!$A:$A,0)))/B505-IFERROR((J505*INDIRECT("'renta'!G$"&amp;MATCH(I505,renta!$A:$A,0)))/B505,0),)</f>
        <v>-119.4600307</v>
      </c>
      <c r="E505" s="41">
        <f t="shared" si="58"/>
        <v>-6.63666837</v>
      </c>
      <c r="F505" s="61" t="s">
        <v>55</v>
      </c>
      <c r="G505" s="62" t="str">
        <f t="shared" si="54"/>
        <v>1,87</v>
      </c>
      <c r="H505" s="63" t="s">
        <v>1938</v>
      </c>
      <c r="I505" s="61" t="s">
        <v>57</v>
      </c>
      <c r="J505" s="61">
        <f t="shared" si="23"/>
        <v>63.935</v>
      </c>
      <c r="K505" s="61">
        <v>67.3</v>
      </c>
      <c r="L505" s="59" t="s">
        <v>2360</v>
      </c>
      <c r="M505" s="65" t="s">
        <v>2553</v>
      </c>
      <c r="N505" s="65" t="s">
        <v>2554</v>
      </c>
      <c r="O505" s="66" t="s">
        <v>34</v>
      </c>
      <c r="P505" s="65">
        <v>37.0</v>
      </c>
      <c r="Q505" s="68">
        <f t="shared" si="59"/>
        <v>119</v>
      </c>
      <c r="R505" s="67">
        <f t="array" ref="R505">INDIRECT("'renta'!G$"&amp;MATCH(O505,renta!$A:$A,0))*P505</f>
        <v>4909.239661</v>
      </c>
      <c r="S505" s="68">
        <f t="shared" si="60"/>
        <v>15656.49816</v>
      </c>
      <c r="T505" s="69" t="str">
        <f t="shared" si="25"/>
        <v>ENERGY</v>
      </c>
      <c r="U505" s="70">
        <f t="shared" si="5"/>
        <v>0.8864361227</v>
      </c>
      <c r="V505" s="71">
        <v>550.0</v>
      </c>
      <c r="W505" s="72">
        <f t="shared" si="6"/>
        <v>-0.2172000558</v>
      </c>
      <c r="X505" s="72">
        <f t="shared" si="61"/>
        <v>5.342855405</v>
      </c>
      <c r="Y505" s="71">
        <v>0.0</v>
      </c>
      <c r="Z505" s="60">
        <v>-0.5</v>
      </c>
      <c r="AA505" s="85" t="s">
        <v>1465</v>
      </c>
      <c r="AB505" s="74" t="s">
        <v>407</v>
      </c>
      <c r="AC505" s="75" t="s">
        <v>2335</v>
      </c>
      <c r="AD505" s="74" t="s">
        <v>2571</v>
      </c>
      <c r="AE505" s="75" t="s">
        <v>1436</v>
      </c>
      <c r="AF505" s="61" t="s">
        <v>806</v>
      </c>
      <c r="AG505" s="61" t="s">
        <v>2572</v>
      </c>
      <c r="AH505" s="86">
        <v>9.0</v>
      </c>
      <c r="AI505" s="60"/>
    </row>
    <row r="506">
      <c r="A506" s="78" t="s">
        <v>2573</v>
      </c>
      <c r="B506" s="38">
        <v>1.0</v>
      </c>
      <c r="C506" s="39">
        <v>1.1666666666666667</v>
      </c>
      <c r="D506" s="40">
        <f t="array" ref="D506">IFERROR(INDIRECT("'renta'!G$"&amp;MATCH(T506,renta!$A:$A,0))*0.975-(G506*INDIRECT("'renta'!G$"&amp;MATCH(F506,renta!$A:$A,0)))/B506-IFERROR((J506*INDIRECT("'renta'!G$"&amp;MATCH(I506,renta!$A:$A,0)))/B506,0),)</f>
        <v>28.24705411</v>
      </c>
      <c r="E506" s="41">
        <f t="shared" si="58"/>
        <v>2.017646722</v>
      </c>
      <c r="F506" s="40" t="s">
        <v>55</v>
      </c>
      <c r="G506" s="43" t="str">
        <f t="shared" si="54"/>
        <v>1,84</v>
      </c>
      <c r="H506" s="44" t="s">
        <v>2409</v>
      </c>
      <c r="I506" s="40" t="s">
        <v>57</v>
      </c>
      <c r="J506" s="40">
        <f t="shared" si="23"/>
        <v>62.89</v>
      </c>
      <c r="K506" s="40">
        <v>66.2</v>
      </c>
      <c r="L506" s="38" t="s">
        <v>2365</v>
      </c>
      <c r="M506" s="46" t="s">
        <v>2553</v>
      </c>
      <c r="N506" s="46" t="s">
        <v>2554</v>
      </c>
      <c r="O506" s="42" t="s">
        <v>34</v>
      </c>
      <c r="P506" s="46">
        <v>54.0</v>
      </c>
      <c r="Q506" s="48">
        <f t="shared" si="59"/>
        <v>173</v>
      </c>
      <c r="R506" s="47">
        <f t="array" ref="R506">INDIRECT("'renta'!G$"&amp;MATCH(O506,renta!$A:$A,0))*P506</f>
        <v>7164.836263</v>
      </c>
      <c r="S506" s="48">
        <f t="shared" si="60"/>
        <v>22821.33442</v>
      </c>
      <c r="T506" s="49" t="str">
        <f t="shared" si="25"/>
        <v>ENERGY</v>
      </c>
      <c r="U506" s="50">
        <f t="shared" si="5"/>
        <v>1.207887351</v>
      </c>
      <c r="V506" s="80">
        <v>550.0</v>
      </c>
      <c r="W506" s="52">
        <f t="shared" si="6"/>
        <v>0.0513582802</v>
      </c>
      <c r="X506" s="52">
        <f t="shared" si="61"/>
        <v>3.748282949</v>
      </c>
      <c r="Y506" s="80">
        <v>0.0</v>
      </c>
      <c r="Z506" s="39">
        <v>-0.3333333333333333</v>
      </c>
      <c r="AA506" s="81" t="s">
        <v>2346</v>
      </c>
      <c r="AB506" s="82" t="s">
        <v>2498</v>
      </c>
      <c r="AC506" s="54" t="s">
        <v>2396</v>
      </c>
      <c r="AD506" s="82" t="s">
        <v>2574</v>
      </c>
      <c r="AE506" s="54" t="s">
        <v>2575</v>
      </c>
      <c r="AF506" s="40" t="s">
        <v>806</v>
      </c>
      <c r="AG506" s="40" t="s">
        <v>2576</v>
      </c>
      <c r="AH506" s="87">
        <v>9.0</v>
      </c>
      <c r="AI506" s="39"/>
    </row>
    <row r="507">
      <c r="A507" s="58" t="s">
        <v>2577</v>
      </c>
      <c r="B507" s="59">
        <v>1.0</v>
      </c>
      <c r="C507" s="60">
        <v>0.9166666666666666</v>
      </c>
      <c r="D507" s="61">
        <f t="array" ref="D507">IFERROR(INDIRECT("'renta'!G$"&amp;MATCH(T507,renta!$A:$A,0))*0.975-(G507*INDIRECT("'renta'!G$"&amp;MATCH(F507,renta!$A:$A,0)))/B507-IFERROR((J507*INDIRECT("'renta'!G$"&amp;MATCH(I507,renta!$A:$A,0)))/B507,0),)</f>
        <v>178.2512173</v>
      </c>
      <c r="E507" s="41">
        <f t="shared" si="58"/>
        <v>16.20465612</v>
      </c>
      <c r="F507" s="61" t="s">
        <v>55</v>
      </c>
      <c r="G507" s="62" t="str">
        <f t="shared" si="54"/>
        <v>1,81</v>
      </c>
      <c r="H507" s="63" t="s">
        <v>2415</v>
      </c>
      <c r="I507" s="61" t="s">
        <v>57</v>
      </c>
      <c r="J507" s="61">
        <f t="shared" si="23"/>
        <v>61.807</v>
      </c>
      <c r="K507" s="61">
        <v>65.06</v>
      </c>
      <c r="L507" s="59" t="s">
        <v>2370</v>
      </c>
      <c r="M507" s="65" t="s">
        <v>2553</v>
      </c>
      <c r="N507" s="65" t="s">
        <v>2554</v>
      </c>
      <c r="O507" s="66" t="s">
        <v>34</v>
      </c>
      <c r="P507" s="65">
        <v>81.0</v>
      </c>
      <c r="Q507" s="68">
        <f t="shared" si="59"/>
        <v>254</v>
      </c>
      <c r="R507" s="67">
        <f t="array" ref="R507">INDIRECT("'renta'!G$"&amp;MATCH(O507,renta!$A:$A,0))*P507</f>
        <v>10747.25439</v>
      </c>
      <c r="S507" s="68">
        <f t="shared" si="60"/>
        <v>33568.58881</v>
      </c>
      <c r="T507" s="69" t="str">
        <f t="shared" si="25"/>
        <v>ENERGY</v>
      </c>
      <c r="U507" s="70">
        <f t="shared" si="5"/>
        <v>1.320058954</v>
      </c>
      <c r="V507" s="71">
        <v>550.0</v>
      </c>
      <c r="W507" s="72">
        <f t="shared" si="6"/>
        <v>0.3240931224</v>
      </c>
      <c r="X507" s="72">
        <f t="shared" si="61"/>
        <v>2.537716446</v>
      </c>
      <c r="Y507" s="71">
        <v>0.0</v>
      </c>
      <c r="Z507" s="60">
        <v>-0.25</v>
      </c>
      <c r="AA507" s="85" t="s">
        <v>2434</v>
      </c>
      <c r="AB507" s="74" t="s">
        <v>2502</v>
      </c>
      <c r="AC507" s="75" t="s">
        <v>2352</v>
      </c>
      <c r="AD507" s="74" t="s">
        <v>2578</v>
      </c>
      <c r="AE507" s="75" t="s">
        <v>1452</v>
      </c>
      <c r="AF507" s="61" t="s">
        <v>806</v>
      </c>
      <c r="AG507" s="61" t="s">
        <v>2579</v>
      </c>
      <c r="AH507" s="86">
        <v>9.0</v>
      </c>
      <c r="AI507" s="60"/>
    </row>
    <row r="508">
      <c r="A508" s="78" t="s">
        <v>2580</v>
      </c>
      <c r="B508" s="38">
        <v>1.0</v>
      </c>
      <c r="C508" s="39">
        <v>0.7083333333333334</v>
      </c>
      <c r="D508" s="40">
        <f t="array" ref="D508">IFERROR(INDIRECT("'renta'!G$"&amp;MATCH(T508,renta!$A:$A,0))*0.975-(G508*INDIRECT("'renta'!G$"&amp;MATCH(F508,renta!$A:$A,0)))/B508-IFERROR((J508*INDIRECT("'renta'!G$"&amp;MATCH(I508,renta!$A:$A,0)))/B508,0),)</f>
        <v>359.8801408</v>
      </c>
      <c r="E508" s="41">
        <f t="shared" si="58"/>
        <v>42.33884009</v>
      </c>
      <c r="F508" s="40" t="s">
        <v>55</v>
      </c>
      <c r="G508" s="43" t="str">
        <f t="shared" si="54"/>
        <v>1,77</v>
      </c>
      <c r="H508" s="44" t="s">
        <v>2418</v>
      </c>
      <c r="I508" s="40" t="s">
        <v>57</v>
      </c>
      <c r="J508" s="40">
        <f t="shared" si="23"/>
        <v>60.667</v>
      </c>
      <c r="K508" s="40">
        <v>63.86</v>
      </c>
      <c r="L508" s="38" t="s">
        <v>2375</v>
      </c>
      <c r="M508" s="46" t="s">
        <v>2553</v>
      </c>
      <c r="N508" s="46" t="s">
        <v>2554</v>
      </c>
      <c r="O508" s="42" t="s">
        <v>34</v>
      </c>
      <c r="P508" s="46">
        <v>126.0</v>
      </c>
      <c r="Q508" s="48">
        <f t="shared" si="59"/>
        <v>380</v>
      </c>
      <c r="R508" s="47">
        <f t="array" ref="R508">INDIRECT("'renta'!G$"&amp;MATCH(O508,renta!$A:$A,0))*P508</f>
        <v>16717.95128</v>
      </c>
      <c r="S508" s="48">
        <f t="shared" si="60"/>
        <v>50286.54009</v>
      </c>
      <c r="T508" s="49" t="str">
        <f t="shared" si="25"/>
        <v>ENERGY</v>
      </c>
      <c r="U508" s="50">
        <f t="shared" si="5"/>
        <v>1.563240826</v>
      </c>
      <c r="V508" s="80">
        <v>550.0</v>
      </c>
      <c r="W508" s="52">
        <f t="shared" si="6"/>
        <v>0.6543275287</v>
      </c>
      <c r="X508" s="52">
        <f t="shared" si="61"/>
        <v>1.975328201</v>
      </c>
      <c r="Y508" s="80">
        <v>0.0</v>
      </c>
      <c r="Z508" s="39">
        <v>-0.20833333333333334</v>
      </c>
      <c r="AA508" s="81" t="s">
        <v>2505</v>
      </c>
      <c r="AB508" s="82" t="s">
        <v>2137</v>
      </c>
      <c r="AC508" s="54" t="s">
        <v>1899</v>
      </c>
      <c r="AD508" s="82" t="s">
        <v>2581</v>
      </c>
      <c r="AE508" s="54" t="s">
        <v>1461</v>
      </c>
      <c r="AF508" s="40" t="s">
        <v>806</v>
      </c>
      <c r="AG508" s="40" t="s">
        <v>2582</v>
      </c>
      <c r="AH508" s="87">
        <v>9.0</v>
      </c>
      <c r="AI508" s="39"/>
    </row>
    <row r="509">
      <c r="A509" s="58" t="s">
        <v>2583</v>
      </c>
      <c r="B509" s="59">
        <v>1.0</v>
      </c>
      <c r="C509" s="60">
        <v>0.5</v>
      </c>
      <c r="D509" s="61">
        <f t="array" ref="D509">IFERROR(INDIRECT("'renta'!G$"&amp;MATCH(T509,renta!$A:$A,0))*0.975-(G509*INDIRECT("'renta'!G$"&amp;MATCH(F509,renta!$A:$A,0)))/B509-IFERROR((J509*INDIRECT("'renta'!G$"&amp;MATCH(I509,renta!$A:$A,0)))/B509,0),)</f>
        <v>516.2012697</v>
      </c>
      <c r="E509" s="41">
        <f t="shared" si="58"/>
        <v>86.03354495</v>
      </c>
      <c r="F509" s="61" t="s">
        <v>55</v>
      </c>
      <c r="G509" s="62" t="str">
        <f t="shared" si="54"/>
        <v>1,74</v>
      </c>
      <c r="H509" s="63" t="s">
        <v>2421</v>
      </c>
      <c r="I509" s="61" t="s">
        <v>57</v>
      </c>
      <c r="J509" s="61">
        <f t="shared" si="23"/>
        <v>59.4795</v>
      </c>
      <c r="K509" s="61">
        <v>62.61</v>
      </c>
      <c r="L509" s="59" t="s">
        <v>1366</v>
      </c>
      <c r="M509" s="65" t="s">
        <v>2553</v>
      </c>
      <c r="N509" s="65" t="s">
        <v>2554</v>
      </c>
      <c r="O509" s="66" t="s">
        <v>34</v>
      </c>
      <c r="P509" s="65">
        <v>200.0</v>
      </c>
      <c r="Q509" s="68">
        <f t="shared" si="59"/>
        <v>580</v>
      </c>
      <c r="R509" s="67">
        <f t="array" ref="R509">INDIRECT("'renta'!G$"&amp;MATCH(O509,renta!$A:$A,0))*P509</f>
        <v>26536.4306</v>
      </c>
      <c r="S509" s="68">
        <f t="shared" si="60"/>
        <v>76822.97069</v>
      </c>
      <c r="T509" s="69" t="str">
        <f t="shared" si="25"/>
        <v>ENERGY</v>
      </c>
      <c r="U509" s="70">
        <f t="shared" si="5"/>
        <v>1.64659315</v>
      </c>
      <c r="V509" s="71">
        <v>550.0</v>
      </c>
      <c r="W509" s="72">
        <f t="shared" si="6"/>
        <v>0.9385477631</v>
      </c>
      <c r="X509" s="72"/>
      <c r="Y509" s="71">
        <v>0.0</v>
      </c>
      <c r="Z509" s="60">
        <v>-0.20833333333333334</v>
      </c>
      <c r="AA509" s="85" t="s">
        <v>405</v>
      </c>
      <c r="AB509" s="74" t="s">
        <v>2510</v>
      </c>
      <c r="AC509" s="75" t="s">
        <v>2244</v>
      </c>
      <c r="AD509" s="74" t="s">
        <v>1895</v>
      </c>
      <c r="AE509" s="75" t="s">
        <v>1467</v>
      </c>
      <c r="AF509" s="61" t="s">
        <v>806</v>
      </c>
      <c r="AG509" s="61" t="s">
        <v>2584</v>
      </c>
      <c r="AH509" s="86">
        <v>9.0</v>
      </c>
      <c r="AI509" s="60"/>
    </row>
    <row r="510">
      <c r="A510" s="88"/>
      <c r="B510" s="89"/>
      <c r="C510" s="90"/>
      <c r="D510" s="40" t="str">
        <f t="array" ref="D510">IFERROR(INDIRECT("'renta'!G$"&amp;MATCH(T510,renta!$A:$A,0))*0.975-(G510*INDIRECT("'renta'!G$"&amp;MATCH(F510,renta!$A:$A,0)))/B510-IFERROR((J510*INDIRECT("'renta'!G$"&amp;MATCH(I510,renta!$A:$A,0)))/B510,0),)</f>
        <v/>
      </c>
      <c r="E510" s="41">
        <f t="shared" si="58"/>
        <v>0</v>
      </c>
      <c r="F510" s="79"/>
      <c r="G510" s="43" t="str">
        <f t="shared" si="54"/>
        <v/>
      </c>
      <c r="H510" s="91"/>
      <c r="I510" s="79"/>
      <c r="J510" s="40">
        <f t="shared" si="23"/>
        <v>0</v>
      </c>
      <c r="K510" s="79"/>
      <c r="L510" s="92"/>
      <c r="M510" s="93"/>
      <c r="N510" s="93"/>
      <c r="O510" s="45"/>
      <c r="P510" s="93"/>
      <c r="Q510" s="93"/>
      <c r="R510" s="47"/>
      <c r="S510" s="48"/>
      <c r="T510" s="49" t="str">
        <f t="shared" si="25"/>
        <v/>
      </c>
      <c r="U510" s="50" t="str">
        <f t="shared" si="5"/>
        <v>#DIV/0!</v>
      </c>
      <c r="V510" s="94"/>
      <c r="W510" s="52" t="str">
        <f t="shared" si="6"/>
        <v/>
      </c>
      <c r="X510" s="52"/>
      <c r="Y510" s="94"/>
      <c r="Z510" s="90"/>
      <c r="AA510" s="95"/>
      <c r="AB510" s="50"/>
      <c r="AC510" s="83"/>
      <c r="AD510" s="50"/>
      <c r="AE510" s="83"/>
      <c r="AF510" s="79"/>
      <c r="AG510" s="79"/>
      <c r="AH510" s="84"/>
      <c r="AI510" s="90"/>
    </row>
    <row r="511">
      <c r="A511" s="58" t="s">
        <v>2585</v>
      </c>
      <c r="B511" s="59">
        <v>1.0</v>
      </c>
      <c r="C511" s="60">
        <v>10.0</v>
      </c>
      <c r="D511" s="61">
        <f t="array" ref="D511">IFERROR(INDIRECT("'renta'!G$"&amp;MATCH(T511,renta!$A:$A,0))*0.975-(G511*INDIRECT("'renta'!G$"&amp;MATCH(F511,renta!$A:$A,0)))/B511-IFERROR((J511*INDIRECT("'renta'!G$"&amp;MATCH(I511,renta!$A:$A,0)))/B511,0),)</f>
        <v>-3359.478412</v>
      </c>
      <c r="E511" s="41">
        <f t="shared" si="58"/>
        <v>-27.99565343</v>
      </c>
      <c r="F511" s="61" t="s">
        <v>81</v>
      </c>
      <c r="G511" s="62" t="str">
        <f t="shared" si="54"/>
        <v>7,00</v>
      </c>
      <c r="H511" s="63" t="s">
        <v>2586</v>
      </c>
      <c r="I511" s="61" t="s">
        <v>93</v>
      </c>
      <c r="J511" s="61">
        <f t="shared" si="23"/>
        <v>1.9</v>
      </c>
      <c r="K511" s="61">
        <v>2.0</v>
      </c>
      <c r="L511" s="59" t="s">
        <v>137</v>
      </c>
      <c r="M511" s="65" t="s">
        <v>2587</v>
      </c>
      <c r="N511" s="65" t="s">
        <v>2588</v>
      </c>
      <c r="O511" s="66" t="s">
        <v>12</v>
      </c>
      <c r="P511" s="65">
        <v>1.0</v>
      </c>
      <c r="Q511" s="65"/>
      <c r="R511" s="67">
        <f t="array" ref="R511">INDIRECT("'renta'!G$"&amp;MATCH(O511,renta!$A:$A,0))*P511</f>
        <v>0.0041</v>
      </c>
      <c r="S511" s="68">
        <f t="shared" ref="S511:S515" si="62">SUM(R$511:R511)</f>
        <v>0.0041</v>
      </c>
      <c r="T511" s="69" t="str">
        <f t="shared" si="25"/>
        <v>HYDROGEN</v>
      </c>
      <c r="U511" s="70">
        <f t="shared" si="5"/>
        <v>-6828208.154</v>
      </c>
      <c r="V511" s="71">
        <v>688.0</v>
      </c>
      <c r="W511" s="72">
        <f t="shared" si="6"/>
        <v>-4.882962808</v>
      </c>
      <c r="X511" s="72"/>
      <c r="Y511" s="71">
        <v>0.0</v>
      </c>
      <c r="Z511" s="60">
        <v>0.0</v>
      </c>
      <c r="AA511" s="73">
        <v>0.0</v>
      </c>
      <c r="AB511" s="74" t="s">
        <v>2589</v>
      </c>
      <c r="AC511" s="75" t="s">
        <v>2335</v>
      </c>
      <c r="AD511" s="74" t="s">
        <v>2514</v>
      </c>
      <c r="AE511" s="75" t="s">
        <v>2590</v>
      </c>
      <c r="AF511" s="61" t="s">
        <v>806</v>
      </c>
      <c r="AG511" s="61" t="s">
        <v>2591</v>
      </c>
      <c r="AH511" s="86">
        <v>10.0</v>
      </c>
      <c r="AI511" s="60"/>
    </row>
    <row r="512">
      <c r="A512" s="78" t="s">
        <v>2592</v>
      </c>
      <c r="B512" s="38">
        <v>1.0</v>
      </c>
      <c r="C512" s="39">
        <v>6.0</v>
      </c>
      <c r="D512" s="40">
        <f t="array" ref="D512">IFERROR(INDIRECT("'renta'!G$"&amp;MATCH(T512,renta!$A:$A,0))*0.975-(G512*INDIRECT("'renta'!G$"&amp;MATCH(F512,renta!$A:$A,0)))/B512-IFERROR((J512*INDIRECT("'renta'!G$"&amp;MATCH(I512,renta!$A:$A,0)))/B512,0),)</f>
        <v>-2582.455003</v>
      </c>
      <c r="E512" s="41">
        <f t="shared" si="58"/>
        <v>-35.86743059</v>
      </c>
      <c r="F512" s="40" t="s">
        <v>81</v>
      </c>
      <c r="G512" s="43" t="str">
        <f t="shared" si="54"/>
        <v>6,80</v>
      </c>
      <c r="H512" s="44" t="s">
        <v>2593</v>
      </c>
      <c r="I512" s="40" t="s">
        <v>93</v>
      </c>
      <c r="J512" s="40">
        <f t="shared" si="23"/>
        <v>1.843</v>
      </c>
      <c r="K512" s="40">
        <v>1.94</v>
      </c>
      <c r="L512" s="38" t="s">
        <v>1917</v>
      </c>
      <c r="M512" s="46" t="s">
        <v>2587</v>
      </c>
      <c r="N512" s="46" t="s">
        <v>2588</v>
      </c>
      <c r="O512" s="42" t="s">
        <v>34</v>
      </c>
      <c r="P512" s="46">
        <v>20.0</v>
      </c>
      <c r="Q512" s="46"/>
      <c r="R512" s="47">
        <f t="array" ref="R512">INDIRECT("'renta'!G$"&amp;MATCH(O512,renta!$A:$A,0))*P512</f>
        <v>2653.64306</v>
      </c>
      <c r="S512" s="48">
        <f t="shared" si="62"/>
        <v>2653.64716</v>
      </c>
      <c r="T512" s="49" t="str">
        <f t="shared" si="25"/>
        <v>HYDROGEN</v>
      </c>
      <c r="U512" s="50">
        <f t="shared" si="5"/>
        <v>-2.966403914</v>
      </c>
      <c r="V512" s="80">
        <v>688.0</v>
      </c>
      <c r="W512" s="52">
        <f t="shared" si="6"/>
        <v>-3.753568318</v>
      </c>
      <c r="X512" s="52">
        <f t="shared" ref="X512:X514" si="63">(W512-W511)/R512*100000</f>
        <v>42.56015087</v>
      </c>
      <c r="Y512" s="80">
        <v>0.0</v>
      </c>
      <c r="Z512" s="39">
        <v>-4.0</v>
      </c>
      <c r="AA512" s="81" t="s">
        <v>2594</v>
      </c>
      <c r="AB512" s="82" t="s">
        <v>2595</v>
      </c>
      <c r="AC512" s="54" t="s">
        <v>1899</v>
      </c>
      <c r="AD512" s="82" t="s">
        <v>694</v>
      </c>
      <c r="AE512" s="54" t="s">
        <v>759</v>
      </c>
      <c r="AF512" s="40" t="s">
        <v>806</v>
      </c>
      <c r="AG512" s="40" t="s">
        <v>2596</v>
      </c>
      <c r="AH512" s="87">
        <v>10.0</v>
      </c>
      <c r="AI512" s="39"/>
    </row>
    <row r="513">
      <c r="A513" s="58" t="s">
        <v>2597</v>
      </c>
      <c r="B513" s="59">
        <v>1.0</v>
      </c>
      <c r="C513" s="60">
        <v>3.0</v>
      </c>
      <c r="D513" s="61">
        <f t="array" ref="D513">IFERROR(INDIRECT("'renta'!G$"&amp;MATCH(T513,renta!$A:$A,0))*0.975-(G513*INDIRECT("'renta'!G$"&amp;MATCH(F513,renta!$A:$A,0)))/B513-IFERROR((J513*INDIRECT("'renta'!G$"&amp;MATCH(I513,renta!$A:$A,0)))/B513,0),)</f>
        <v>-1893.268828</v>
      </c>
      <c r="E513" s="41">
        <f t="shared" si="58"/>
        <v>-52.59080079</v>
      </c>
      <c r="F513" s="61" t="s">
        <v>81</v>
      </c>
      <c r="G513" s="62" t="str">
        <f t="shared" si="54"/>
        <v>6,60</v>
      </c>
      <c r="H513" s="63" t="s">
        <v>2598</v>
      </c>
      <c r="I513" s="61" t="s">
        <v>93</v>
      </c>
      <c r="J513" s="61">
        <f t="shared" si="23"/>
        <v>1.7955</v>
      </c>
      <c r="K513" s="61">
        <v>1.89</v>
      </c>
      <c r="L513" s="59" t="s">
        <v>1933</v>
      </c>
      <c r="M513" s="65" t="s">
        <v>2587</v>
      </c>
      <c r="N513" s="65" t="s">
        <v>2588</v>
      </c>
      <c r="O513" s="66" t="s">
        <v>34</v>
      </c>
      <c r="P513" s="65">
        <v>30.0</v>
      </c>
      <c r="Q513" s="65"/>
      <c r="R513" s="67">
        <f t="array" ref="R513">INDIRECT("'renta'!G$"&amp;MATCH(O513,renta!$A:$A,0))*P513</f>
        <v>3980.46459</v>
      </c>
      <c r="S513" s="68">
        <f t="shared" si="62"/>
        <v>6634.111751</v>
      </c>
      <c r="T513" s="69" t="str">
        <f t="shared" si="25"/>
        <v>HYDROGEN</v>
      </c>
      <c r="U513" s="70">
        <f t="shared" si="5"/>
        <v>-4.201361378</v>
      </c>
      <c r="V513" s="71">
        <v>688.0</v>
      </c>
      <c r="W513" s="72">
        <f t="shared" si="6"/>
        <v>-2.751844227</v>
      </c>
      <c r="X513" s="72">
        <f t="shared" si="63"/>
        <v>25.16600934</v>
      </c>
      <c r="Y513" s="71">
        <v>0.0</v>
      </c>
      <c r="Z513" s="60">
        <v>-3.0</v>
      </c>
      <c r="AA513" s="73">
        <v>1.0</v>
      </c>
      <c r="AB513" s="74" t="s">
        <v>2599</v>
      </c>
      <c r="AC513" s="119">
        <v>46114.0</v>
      </c>
      <c r="AD513" s="74" t="s">
        <v>2567</v>
      </c>
      <c r="AE513" s="75" t="s">
        <v>2536</v>
      </c>
      <c r="AF513" s="61" t="s">
        <v>806</v>
      </c>
      <c r="AG513" s="61" t="s">
        <v>2600</v>
      </c>
      <c r="AH513" s="86">
        <v>10.0</v>
      </c>
      <c r="AI513" s="60"/>
    </row>
    <row r="514">
      <c r="A514" s="78" t="s">
        <v>2601</v>
      </c>
      <c r="B514" s="38">
        <v>1.0</v>
      </c>
      <c r="C514" s="39">
        <v>1.6666666666666667</v>
      </c>
      <c r="D514" s="40">
        <f t="array" ref="D514">IFERROR(INDIRECT("'renta'!G$"&amp;MATCH(T514,renta!$A:$A,0))*0.975-(G514*INDIRECT("'renta'!G$"&amp;MATCH(F514,renta!$A:$A,0)))/B514-IFERROR((J514*INDIRECT("'renta'!G$"&amp;MATCH(I514,renta!$A:$A,0)))/B514,0),)</f>
        <v>-978.4081844</v>
      </c>
      <c r="E514" s="41">
        <f t="shared" si="58"/>
        <v>-48.92040922</v>
      </c>
      <c r="F514" s="40" t="s">
        <v>81</v>
      </c>
      <c r="G514" s="43" t="str">
        <f t="shared" si="54"/>
        <v>6,36</v>
      </c>
      <c r="H514" s="44" t="s">
        <v>2602</v>
      </c>
      <c r="I514" s="40" t="s">
        <v>93</v>
      </c>
      <c r="J514" s="40">
        <f t="shared" si="23"/>
        <v>1.729</v>
      </c>
      <c r="K514" s="40">
        <v>1.82</v>
      </c>
      <c r="L514" s="38" t="s">
        <v>1957</v>
      </c>
      <c r="M514" s="46" t="s">
        <v>2587</v>
      </c>
      <c r="N514" s="46" t="s">
        <v>2588</v>
      </c>
      <c r="O514" s="42" t="s">
        <v>34</v>
      </c>
      <c r="P514" s="46">
        <v>70.0</v>
      </c>
      <c r="Q514" s="46"/>
      <c r="R514" s="47">
        <f t="array" ref="R514">INDIRECT("'renta'!G$"&amp;MATCH(O514,renta!$A:$A,0))*P514</f>
        <v>9287.750711</v>
      </c>
      <c r="S514" s="48">
        <f t="shared" si="62"/>
        <v>15921.86246</v>
      </c>
      <c r="T514" s="49" t="str">
        <f t="shared" si="25"/>
        <v>HYDROGEN</v>
      </c>
      <c r="U514" s="50">
        <f t="shared" si="5"/>
        <v>0.3951862707</v>
      </c>
      <c r="V514" s="80">
        <v>688.0</v>
      </c>
      <c r="W514" s="52">
        <f t="shared" si="6"/>
        <v>-1.422104919</v>
      </c>
      <c r="X514" s="52">
        <f t="shared" si="63"/>
        <v>14.31712962</v>
      </c>
      <c r="Y514" s="80">
        <v>0.0</v>
      </c>
      <c r="Z514" s="39">
        <v>-1.3333333333333333</v>
      </c>
      <c r="AA514" s="53">
        <v>0.8</v>
      </c>
      <c r="AB514" s="82" t="s">
        <v>2603</v>
      </c>
      <c r="AC514" s="54" t="s">
        <v>2422</v>
      </c>
      <c r="AD514" s="111">
        <v>46266.0</v>
      </c>
      <c r="AE514" s="120">
        <v>46266.0</v>
      </c>
      <c r="AF514" s="40" t="s">
        <v>806</v>
      </c>
      <c r="AG514" s="40" t="s">
        <v>2604</v>
      </c>
      <c r="AH514" s="87">
        <v>10.0</v>
      </c>
      <c r="AI514" s="39"/>
    </row>
    <row r="515">
      <c r="A515" s="58" t="s">
        <v>97</v>
      </c>
      <c r="B515" s="59">
        <v>1.0</v>
      </c>
      <c r="C515" s="60">
        <v>1.0</v>
      </c>
      <c r="D515" s="61">
        <f t="array" ref="D515">IFERROR(INDIRECT("'renta'!G$"&amp;MATCH(T515,renta!$A:$A,0))*0.975-(G515*INDIRECT("'renta'!G$"&amp;MATCH(F515,renta!$A:$A,0)))/B515-IFERROR((J515*INDIRECT("'renta'!G$"&amp;MATCH(I515,renta!$A:$A,0)))/B515,0),)</f>
        <v>174.2896944</v>
      </c>
      <c r="E515" s="41">
        <f t="shared" si="58"/>
        <v>14.5241412</v>
      </c>
      <c r="F515" s="61" t="s">
        <v>81</v>
      </c>
      <c r="G515" s="62" t="str">
        <f t="shared" si="54"/>
        <v>6</v>
      </c>
      <c r="H515" s="63" t="s">
        <v>2605</v>
      </c>
      <c r="I515" s="61" t="s">
        <v>93</v>
      </c>
      <c r="J515" s="61">
        <f t="shared" si="23"/>
        <v>1.653</v>
      </c>
      <c r="K515" s="61">
        <v>1.74</v>
      </c>
      <c r="L515" s="59" t="s">
        <v>1366</v>
      </c>
      <c r="M515" s="65" t="s">
        <v>2587</v>
      </c>
      <c r="N515" s="65" t="s">
        <v>2588</v>
      </c>
      <c r="O515" s="66" t="s">
        <v>34</v>
      </c>
      <c r="P515" s="65">
        <v>200.0</v>
      </c>
      <c r="Q515" s="65">
        <f>320</f>
        <v>320</v>
      </c>
      <c r="R515" s="67">
        <f t="array" ref="R515">INDIRECT("'renta'!G$"&amp;MATCH(O515,renta!$A:$A,0))*P515</f>
        <v>26536.4306</v>
      </c>
      <c r="S515" s="68">
        <f t="shared" si="62"/>
        <v>42458.29306</v>
      </c>
      <c r="T515" s="69" t="str">
        <f t="shared" si="25"/>
        <v>HYDROGEN</v>
      </c>
      <c r="U515" s="70">
        <f t="shared" si="5"/>
        <v>2.390847186</v>
      </c>
      <c r="V515" s="71">
        <v>688.0</v>
      </c>
      <c r="W515" s="72">
        <f t="shared" si="6"/>
        <v>0.2533280441</v>
      </c>
      <c r="X515" s="72"/>
      <c r="Y515" s="71">
        <v>0.0</v>
      </c>
      <c r="Z515" s="60">
        <v>-0.6666666666666666</v>
      </c>
      <c r="AA515" s="85" t="s">
        <v>2594</v>
      </c>
      <c r="AB515" s="110">
        <v>46271.0</v>
      </c>
      <c r="AC515" s="75" t="s">
        <v>2262</v>
      </c>
      <c r="AD515" s="74" t="s">
        <v>2606</v>
      </c>
      <c r="AE515" s="75" t="s">
        <v>147</v>
      </c>
      <c r="AF515" s="61" t="s">
        <v>806</v>
      </c>
      <c r="AG515" s="61" t="s">
        <v>2607</v>
      </c>
      <c r="AH515" s="86">
        <v>10.0</v>
      </c>
      <c r="AI515" s="60"/>
    </row>
    <row r="516">
      <c r="A516" s="88"/>
      <c r="B516" s="89"/>
      <c r="C516" s="90"/>
      <c r="D516" s="40" t="str">
        <f t="array" ref="D516">IFERROR(INDIRECT("'renta'!G$"&amp;MATCH(T516,renta!$A:$A,0))*0.975-(G516*INDIRECT("'renta'!G$"&amp;MATCH(F516,renta!$A:$A,0)))/B516-IFERROR((J516*INDIRECT("'renta'!G$"&amp;MATCH(I516,renta!$A:$A,0)))/B516,0),)</f>
        <v/>
      </c>
      <c r="E516" s="41">
        <f t="shared" si="58"/>
        <v>0</v>
      </c>
      <c r="F516" s="79"/>
      <c r="G516" s="43" t="str">
        <f t="shared" si="54"/>
        <v/>
      </c>
      <c r="H516" s="91"/>
      <c r="I516" s="79"/>
      <c r="J516" s="40">
        <f t="shared" si="23"/>
        <v>0</v>
      </c>
      <c r="K516" s="79"/>
      <c r="L516" s="92"/>
      <c r="M516" s="93"/>
      <c r="N516" s="93"/>
      <c r="O516" s="45"/>
      <c r="P516" s="93"/>
      <c r="Q516" s="93"/>
      <c r="R516" s="47"/>
      <c r="S516" s="48"/>
      <c r="T516" s="49" t="str">
        <f t="shared" si="25"/>
        <v/>
      </c>
      <c r="U516" s="50" t="str">
        <f t="shared" si="5"/>
        <v>#DIV/0!</v>
      </c>
      <c r="V516" s="94"/>
      <c r="W516" s="52" t="str">
        <f t="shared" si="6"/>
        <v/>
      </c>
      <c r="X516" s="52"/>
      <c r="Y516" s="94"/>
      <c r="Z516" s="90"/>
      <c r="AA516" s="95"/>
      <c r="AB516" s="50"/>
      <c r="AC516" s="83"/>
      <c r="AD516" s="50"/>
      <c r="AE516" s="83"/>
      <c r="AF516" s="79"/>
      <c r="AG516" s="79"/>
      <c r="AH516" s="84"/>
      <c r="AI516" s="90"/>
    </row>
    <row r="517">
      <c r="A517" s="58" t="s">
        <v>2608</v>
      </c>
      <c r="B517" s="59">
        <v>1.0</v>
      </c>
      <c r="C517" s="60">
        <v>14.0</v>
      </c>
      <c r="D517" s="61">
        <f t="array" ref="D517">IFERROR(INDIRECT("'renta'!G$"&amp;MATCH(T517,renta!$A:$A,0))*0.975-(G517*INDIRECT("'renta'!G$"&amp;MATCH(F517,renta!$A:$A,0)))/B517-IFERROR((J517*INDIRECT("'renta'!G$"&amp;MATCH(I517,renta!$A:$A,0)))/B517,0),)</f>
        <v>-3877.648848</v>
      </c>
      <c r="E517" s="41">
        <f t="shared" si="58"/>
        <v>-23.08124314</v>
      </c>
      <c r="F517" s="61" t="s">
        <v>72</v>
      </c>
      <c r="G517" s="62" t="str">
        <f t="shared" si="54"/>
        <v>3,00</v>
      </c>
      <c r="H517" s="63" t="s">
        <v>136</v>
      </c>
      <c r="I517" s="61" t="s">
        <v>90</v>
      </c>
      <c r="J517" s="61">
        <f t="shared" si="23"/>
        <v>1.9</v>
      </c>
      <c r="K517" s="61">
        <v>2.0</v>
      </c>
      <c r="L517" s="59" t="s">
        <v>137</v>
      </c>
      <c r="M517" s="65" t="s">
        <v>2265</v>
      </c>
      <c r="N517" s="65" t="s">
        <v>2609</v>
      </c>
      <c r="O517" s="66" t="s">
        <v>12</v>
      </c>
      <c r="P517" s="65">
        <v>1.0</v>
      </c>
      <c r="Q517" s="65"/>
      <c r="R517" s="67">
        <f t="array" ref="R517">INDIRECT("'renta'!G$"&amp;MATCH(O517,renta!$A:$A,0))*P517</f>
        <v>0.0041</v>
      </c>
      <c r="S517" s="68">
        <f t="shared" ref="S517:S521" si="64">SUM(R$517:R517)</f>
        <v>0.0041</v>
      </c>
      <c r="T517" s="69" t="str">
        <f t="shared" si="25"/>
        <v>DYNAMITE</v>
      </c>
      <c r="U517" s="70">
        <f t="shared" si="5"/>
        <v>-5629571.498</v>
      </c>
      <c r="V517" s="71">
        <v>1000.0</v>
      </c>
      <c r="W517" s="72">
        <f t="shared" si="6"/>
        <v>-3.877648848</v>
      </c>
      <c r="X517" s="72"/>
      <c r="Y517" s="71">
        <v>0.0</v>
      </c>
      <c r="Z517" s="60">
        <v>0.0</v>
      </c>
      <c r="AA517" s="73">
        <v>0.0</v>
      </c>
      <c r="AB517" s="74" t="s">
        <v>2610</v>
      </c>
      <c r="AC517" s="75" t="s">
        <v>2611</v>
      </c>
      <c r="AD517" s="74" t="s">
        <v>2612</v>
      </c>
      <c r="AE517" s="75" t="s">
        <v>2612</v>
      </c>
      <c r="AF517" s="61" t="s">
        <v>806</v>
      </c>
      <c r="AG517" s="61" t="s">
        <v>2613</v>
      </c>
      <c r="AH517" s="86">
        <v>10.0</v>
      </c>
      <c r="AI517" s="60"/>
    </row>
    <row r="518">
      <c r="A518" s="78" t="s">
        <v>2614</v>
      </c>
      <c r="B518" s="38">
        <v>1.0</v>
      </c>
      <c r="C518" s="39">
        <v>8.0</v>
      </c>
      <c r="D518" s="40">
        <f t="array" ref="D518">IFERROR(INDIRECT("'renta'!G$"&amp;MATCH(T518,renta!$A:$A,0))*0.975-(G518*INDIRECT("'renta'!G$"&amp;MATCH(F518,renta!$A:$A,0)))/B518-IFERROR((J518*INDIRECT("'renta'!G$"&amp;MATCH(I518,renta!$A:$A,0)))/B518,0),)</f>
        <v>-2605.948848</v>
      </c>
      <c r="E518" s="41">
        <f t="shared" si="58"/>
        <v>-27.1453005</v>
      </c>
      <c r="F518" s="40" t="s">
        <v>72</v>
      </c>
      <c r="G518" s="43" t="str">
        <f t="shared" si="54"/>
        <v>2,91</v>
      </c>
      <c r="H518" s="44" t="s">
        <v>2140</v>
      </c>
      <c r="I518" s="40" t="s">
        <v>90</v>
      </c>
      <c r="J518" s="40">
        <f t="shared" si="23"/>
        <v>1.843</v>
      </c>
      <c r="K518" s="40">
        <v>1.94</v>
      </c>
      <c r="L518" s="38" t="s">
        <v>1917</v>
      </c>
      <c r="M518" s="46" t="s">
        <v>2265</v>
      </c>
      <c r="N518" s="46" t="s">
        <v>2609</v>
      </c>
      <c r="O518" s="42" t="s">
        <v>34</v>
      </c>
      <c r="P518" s="46">
        <v>20.0</v>
      </c>
      <c r="Q518" s="46"/>
      <c r="R518" s="47">
        <f t="array" ref="R518">INDIRECT("'renta'!G$"&amp;MATCH(O518,renta!$A:$A,0))*P518</f>
        <v>2653.64306</v>
      </c>
      <c r="S518" s="48">
        <f t="shared" si="64"/>
        <v>2653.64716</v>
      </c>
      <c r="T518" s="49" t="str">
        <f t="shared" si="25"/>
        <v>DYNAMITE</v>
      </c>
      <c r="U518" s="50">
        <f t="shared" si="5"/>
        <v>-1.531501134</v>
      </c>
      <c r="V518" s="80">
        <v>1000.0</v>
      </c>
      <c r="W518" s="52">
        <f t="shared" si="6"/>
        <v>-2.605948848</v>
      </c>
      <c r="X518" s="52"/>
      <c r="Y518" s="80">
        <v>0.0</v>
      </c>
      <c r="Z518" s="39">
        <v>-6.0</v>
      </c>
      <c r="AA518" s="53">
        <v>0.75</v>
      </c>
      <c r="AB518" s="82" t="s">
        <v>746</v>
      </c>
      <c r="AC518" s="54" t="s">
        <v>759</v>
      </c>
      <c r="AD518" s="82" t="s">
        <v>2615</v>
      </c>
      <c r="AE518" s="54" t="s">
        <v>759</v>
      </c>
      <c r="AF518" s="40" t="s">
        <v>806</v>
      </c>
      <c r="AG518" s="40" t="s">
        <v>2616</v>
      </c>
      <c r="AH518" s="87">
        <v>10.0</v>
      </c>
      <c r="AI518" s="39"/>
    </row>
    <row r="519">
      <c r="A519" s="58" t="s">
        <v>2617</v>
      </c>
      <c r="B519" s="59">
        <v>1.0</v>
      </c>
      <c r="C519" s="60">
        <v>4.0</v>
      </c>
      <c r="D519" s="61">
        <f t="array" ref="D519">IFERROR(INDIRECT("'renta'!G$"&amp;MATCH(T519,renta!$A:$A,0))*0.975-(G519*INDIRECT("'renta'!G$"&amp;MATCH(F519,renta!$A:$A,0)))/B519-IFERROR((J519*INDIRECT("'renta'!G$"&amp;MATCH(I519,renta!$A:$A,0)))/B519,0),)</f>
        <v>-1504.048848</v>
      </c>
      <c r="E519" s="41">
        <f t="shared" si="58"/>
        <v>-31.334351</v>
      </c>
      <c r="F519" s="61" t="s">
        <v>72</v>
      </c>
      <c r="G519" s="62" t="str">
        <f t="shared" si="54"/>
        <v>2,83</v>
      </c>
      <c r="H519" s="63" t="s">
        <v>2230</v>
      </c>
      <c r="I519" s="61" t="s">
        <v>90</v>
      </c>
      <c r="J519" s="61">
        <f t="shared" si="23"/>
        <v>1.7955</v>
      </c>
      <c r="K519" s="61">
        <v>1.89</v>
      </c>
      <c r="L519" s="59" t="s">
        <v>1933</v>
      </c>
      <c r="M519" s="65" t="s">
        <v>2265</v>
      </c>
      <c r="N519" s="65" t="s">
        <v>2609</v>
      </c>
      <c r="O519" s="66" t="s">
        <v>34</v>
      </c>
      <c r="P519" s="65">
        <v>30.0</v>
      </c>
      <c r="Q519" s="65"/>
      <c r="R519" s="67">
        <f t="array" ref="R519">INDIRECT("'renta'!G$"&amp;MATCH(O519,renta!$A:$A,0))*P519</f>
        <v>3980.46459</v>
      </c>
      <c r="S519" s="68">
        <f t="shared" si="64"/>
        <v>6634.111751</v>
      </c>
      <c r="T519" s="69" t="str">
        <f t="shared" si="25"/>
        <v>DYNAMITE</v>
      </c>
      <c r="U519" s="70">
        <f t="shared" si="5"/>
        <v>-1.052402403</v>
      </c>
      <c r="V519" s="71">
        <v>1000.0</v>
      </c>
      <c r="W519" s="72">
        <f t="shared" si="6"/>
        <v>-1.504048848</v>
      </c>
      <c r="X519" s="72"/>
      <c r="Y519" s="71">
        <v>0.0</v>
      </c>
      <c r="Z519" s="60">
        <v>-4.0</v>
      </c>
      <c r="AA519" s="73">
        <v>1.0</v>
      </c>
      <c r="AB519" s="74" t="s">
        <v>2494</v>
      </c>
      <c r="AC519" s="75" t="s">
        <v>2536</v>
      </c>
      <c r="AD519" s="74" t="s">
        <v>2618</v>
      </c>
      <c r="AE519" s="75" t="s">
        <v>2536</v>
      </c>
      <c r="AF519" s="61" t="s">
        <v>806</v>
      </c>
      <c r="AG519" s="61" t="s">
        <v>2619</v>
      </c>
      <c r="AH519" s="86">
        <v>10.0</v>
      </c>
      <c r="AI519" s="60"/>
    </row>
    <row r="520">
      <c r="A520" s="78" t="s">
        <v>2620</v>
      </c>
      <c r="B520" s="38">
        <v>1.0</v>
      </c>
      <c r="C520" s="39">
        <v>2.0</v>
      </c>
      <c r="D520" s="40">
        <f t="array" ref="D520">IFERROR(INDIRECT("'renta'!G$"&amp;MATCH(T520,renta!$A:$A,0))*0.975-(G520*INDIRECT("'renta'!G$"&amp;MATCH(F520,renta!$A:$A,0)))/B520-IFERROR((J520*INDIRECT("'renta'!G$"&amp;MATCH(I520,renta!$A:$A,0)))/B520,0),)</f>
        <v>-62.54884798</v>
      </c>
      <c r="E520" s="41">
        <f t="shared" si="58"/>
        <v>-2.606201999</v>
      </c>
      <c r="F520" s="40" t="s">
        <v>72</v>
      </c>
      <c r="G520" s="43" t="str">
        <f t="shared" si="54"/>
        <v>2,73</v>
      </c>
      <c r="H520" s="44" t="s">
        <v>2247</v>
      </c>
      <c r="I520" s="40" t="s">
        <v>90</v>
      </c>
      <c r="J520" s="40">
        <f t="shared" si="23"/>
        <v>1.729</v>
      </c>
      <c r="K520" s="40">
        <v>1.82</v>
      </c>
      <c r="L520" s="38" t="s">
        <v>1957</v>
      </c>
      <c r="M520" s="46" t="s">
        <v>2265</v>
      </c>
      <c r="N520" s="46" t="s">
        <v>2609</v>
      </c>
      <c r="O520" s="42" t="s">
        <v>34</v>
      </c>
      <c r="P520" s="46">
        <v>70.0</v>
      </c>
      <c r="Q520" s="46"/>
      <c r="R520" s="47">
        <f t="array" ref="R520">INDIRECT("'renta'!G$"&amp;MATCH(O520,renta!$A:$A,0))*P520</f>
        <v>9287.750711</v>
      </c>
      <c r="S520" s="48">
        <f t="shared" si="64"/>
        <v>15921.86246</v>
      </c>
      <c r="T520" s="49" t="str">
        <f t="shared" si="25"/>
        <v>DYNAMITE</v>
      </c>
      <c r="U520" s="50">
        <f t="shared" si="5"/>
        <v>3.093122317</v>
      </c>
      <c r="V520" s="80">
        <v>1000.0</v>
      </c>
      <c r="W520" s="52">
        <f t="shared" si="6"/>
        <v>-0.06254884798</v>
      </c>
      <c r="X520" s="52"/>
      <c r="Y520" s="80">
        <v>0.0</v>
      </c>
      <c r="Z520" s="39">
        <v>-2.0</v>
      </c>
      <c r="AA520" s="53">
        <v>1.0</v>
      </c>
      <c r="AB520" s="82" t="s">
        <v>2621</v>
      </c>
      <c r="AC520" s="120">
        <v>46266.0</v>
      </c>
      <c r="AD520" s="82" t="s">
        <v>2622</v>
      </c>
      <c r="AE520" s="120">
        <v>46266.0</v>
      </c>
      <c r="AF520" s="40" t="s">
        <v>806</v>
      </c>
      <c r="AG520" s="40" t="s">
        <v>2623</v>
      </c>
      <c r="AH520" s="87">
        <v>10.0</v>
      </c>
      <c r="AI520" s="39"/>
    </row>
    <row r="521">
      <c r="A521" s="58" t="s">
        <v>100</v>
      </c>
      <c r="B521" s="59">
        <v>1.0</v>
      </c>
      <c r="C521" s="60">
        <v>1.0</v>
      </c>
      <c r="D521" s="61">
        <f t="array" ref="D521">IFERROR(INDIRECT("'renta'!G$"&amp;MATCH(T521,renta!$A:$A,0))*0.975-(G521*INDIRECT("'renta'!G$"&amp;MATCH(F521,renta!$A:$A,0)))/B521-IFERROR((J521*INDIRECT("'renta'!G$"&amp;MATCH(I521,renta!$A:$A,0)))/B521,0),)</f>
        <v>1633.051152</v>
      </c>
      <c r="E521" s="41">
        <f t="shared" si="58"/>
        <v>136.087596</v>
      </c>
      <c r="F521" s="61" t="s">
        <v>72</v>
      </c>
      <c r="G521" s="62" t="str">
        <f t="shared" si="54"/>
        <v>2,61</v>
      </c>
      <c r="H521" s="63" t="s">
        <v>2184</v>
      </c>
      <c r="I521" s="61" t="s">
        <v>90</v>
      </c>
      <c r="J521" s="61">
        <f t="shared" si="23"/>
        <v>1.653</v>
      </c>
      <c r="K521" s="61">
        <v>1.74</v>
      </c>
      <c r="L521" s="59" t="s">
        <v>1366</v>
      </c>
      <c r="M521" s="65" t="s">
        <v>2265</v>
      </c>
      <c r="N521" s="65" t="s">
        <v>2609</v>
      </c>
      <c r="O521" s="66" t="s">
        <v>34</v>
      </c>
      <c r="P521" s="65">
        <v>200.0</v>
      </c>
      <c r="Q521" s="65">
        <v>320.0</v>
      </c>
      <c r="R521" s="67">
        <f t="array" ref="R521">INDIRECT("'renta'!G$"&amp;MATCH(O521,renta!$A:$A,0))*P521</f>
        <v>26536.4306</v>
      </c>
      <c r="S521" s="68">
        <f t="shared" si="64"/>
        <v>42458.29306</v>
      </c>
      <c r="T521" s="69" t="str">
        <f t="shared" si="25"/>
        <v>DYNAMITE</v>
      </c>
      <c r="U521" s="70">
        <f t="shared" si="5"/>
        <v>5.22654309</v>
      </c>
      <c r="V521" s="71">
        <v>1000.0</v>
      </c>
      <c r="W521" s="72">
        <f t="shared" si="6"/>
        <v>1.633051152</v>
      </c>
      <c r="X521" s="72"/>
      <c r="Y521" s="71">
        <v>0.0</v>
      </c>
      <c r="Z521" s="60">
        <v>-1.0</v>
      </c>
      <c r="AA521" s="73">
        <v>1.0</v>
      </c>
      <c r="AB521" s="74" t="s">
        <v>2624</v>
      </c>
      <c r="AC521" s="75" t="s">
        <v>147</v>
      </c>
      <c r="AD521" s="74" t="s">
        <v>2606</v>
      </c>
      <c r="AE521" s="75" t="s">
        <v>147</v>
      </c>
      <c r="AF521" s="61" t="s">
        <v>806</v>
      </c>
      <c r="AG521" s="61" t="s">
        <v>2625</v>
      </c>
      <c r="AH521" s="86">
        <v>10.0</v>
      </c>
      <c r="AI521" s="60"/>
    </row>
    <row r="522">
      <c r="A522" s="121"/>
      <c r="B522" s="122"/>
      <c r="C522" s="121"/>
      <c r="D522" s="123"/>
      <c r="E522" s="121"/>
      <c r="F522" s="121"/>
      <c r="G522" s="124"/>
      <c r="H522" s="125"/>
      <c r="I522" s="121"/>
      <c r="J522" s="121"/>
      <c r="K522" s="121"/>
      <c r="L522" s="121"/>
      <c r="M522" s="121"/>
      <c r="N522" s="121"/>
      <c r="O522" s="121"/>
      <c r="P522" s="121"/>
      <c r="Q522" s="121"/>
      <c r="R522" s="126"/>
      <c r="S522" s="126"/>
      <c r="T522" s="127"/>
      <c r="U522" s="128"/>
      <c r="V522" s="121"/>
      <c r="W522" s="129"/>
      <c r="X522" s="129"/>
      <c r="Y522" s="121"/>
      <c r="Z522" s="121"/>
      <c r="AA522" s="121"/>
      <c r="AB522" s="121"/>
      <c r="AC522" s="121"/>
      <c r="AD522" s="121"/>
      <c r="AE522" s="121"/>
      <c r="AF522" s="121"/>
      <c r="AG522" s="121"/>
      <c r="AH522" s="121"/>
      <c r="AI522" s="121"/>
    </row>
    <row r="523">
      <c r="A523" s="130"/>
      <c r="B523" s="131"/>
      <c r="C523" s="130"/>
      <c r="D523" s="132"/>
      <c r="E523" s="130"/>
      <c r="F523" s="130"/>
      <c r="G523" s="133"/>
      <c r="H523" s="134"/>
      <c r="I523" s="130"/>
      <c r="J523" s="130"/>
      <c r="K523" s="130"/>
      <c r="L523" s="130"/>
      <c r="M523" s="130"/>
      <c r="N523" s="130"/>
      <c r="O523" s="130"/>
      <c r="P523" s="130"/>
      <c r="Q523" s="130"/>
      <c r="R523" s="135"/>
      <c r="S523" s="135"/>
      <c r="T523" s="136"/>
      <c r="U523" s="137"/>
      <c r="V523" s="130"/>
      <c r="W523" s="138"/>
      <c r="X523" s="138"/>
      <c r="Y523" s="130"/>
      <c r="Z523" s="130"/>
      <c r="AA523" s="130"/>
      <c r="AB523" s="130"/>
      <c r="AC523" s="130"/>
      <c r="AD523" s="130"/>
      <c r="AE523" s="130"/>
      <c r="AF523" s="130"/>
      <c r="AG523" s="130"/>
      <c r="AH523" s="130"/>
      <c r="AI523" s="130"/>
    </row>
    <row r="524">
      <c r="A524" s="121"/>
      <c r="B524" s="122"/>
      <c r="C524" s="121"/>
      <c r="D524" s="123"/>
      <c r="E524" s="121"/>
      <c r="F524" s="121"/>
      <c r="G524" s="124"/>
      <c r="H524" s="125"/>
      <c r="I524" s="121"/>
      <c r="J524" s="121"/>
      <c r="K524" s="121"/>
      <c r="L524" s="121"/>
      <c r="M524" s="121"/>
      <c r="N524" s="121"/>
      <c r="O524" s="121"/>
      <c r="P524" s="121"/>
      <c r="Q524" s="121"/>
      <c r="R524" s="126"/>
      <c r="S524" s="126"/>
      <c r="T524" s="127"/>
      <c r="U524" s="128"/>
      <c r="V524" s="121"/>
      <c r="W524" s="129"/>
      <c r="X524" s="129"/>
      <c r="Y524" s="121"/>
      <c r="Z524" s="121"/>
      <c r="AA524" s="121"/>
      <c r="AB524" s="121"/>
      <c r="AC524" s="121"/>
      <c r="AD524" s="121"/>
      <c r="AE524" s="121"/>
      <c r="AF524" s="121"/>
      <c r="AG524" s="121"/>
      <c r="AH524" s="121"/>
      <c r="AI524" s="121"/>
    </row>
    <row r="525">
      <c r="A525" s="130"/>
      <c r="B525" s="131"/>
      <c r="C525" s="130"/>
      <c r="D525" s="132"/>
      <c r="E525" s="130"/>
      <c r="F525" s="130"/>
      <c r="G525" s="133"/>
      <c r="H525" s="134"/>
      <c r="I525" s="130"/>
      <c r="J525" s="130"/>
      <c r="K525" s="130"/>
      <c r="L525" s="130"/>
      <c r="M525" s="130"/>
      <c r="N525" s="130"/>
      <c r="O525" s="130"/>
      <c r="P525" s="130"/>
      <c r="Q525" s="130"/>
      <c r="R525" s="135"/>
      <c r="S525" s="135"/>
      <c r="T525" s="136"/>
      <c r="U525" s="137"/>
      <c r="V525" s="130"/>
      <c r="W525" s="138"/>
      <c r="X525" s="138"/>
      <c r="Y525" s="130"/>
      <c r="Z525" s="130"/>
      <c r="AA525" s="130"/>
      <c r="AB525" s="130"/>
      <c r="AC525" s="130"/>
      <c r="AD525" s="130"/>
      <c r="AE525" s="130"/>
      <c r="AF525" s="130"/>
      <c r="AG525" s="130"/>
      <c r="AH525" s="130"/>
      <c r="AI525" s="130"/>
    </row>
    <row r="526">
      <c r="A526" s="121"/>
      <c r="B526" s="122"/>
      <c r="C526" s="121"/>
      <c r="D526" s="123"/>
      <c r="E526" s="121"/>
      <c r="F526" s="121"/>
      <c r="G526" s="124"/>
      <c r="H526" s="125"/>
      <c r="I526" s="121"/>
      <c r="J526" s="121"/>
      <c r="K526" s="121"/>
      <c r="L526" s="121"/>
      <c r="M526" s="121"/>
      <c r="N526" s="121"/>
      <c r="O526" s="121"/>
      <c r="P526" s="121"/>
      <c r="Q526" s="121"/>
      <c r="R526" s="126"/>
      <c r="S526" s="126"/>
      <c r="T526" s="127"/>
      <c r="U526" s="128"/>
      <c r="V526" s="121"/>
      <c r="W526" s="129"/>
      <c r="X526" s="129"/>
      <c r="Y526" s="121"/>
      <c r="Z526" s="121"/>
      <c r="AA526" s="121"/>
      <c r="AB526" s="121"/>
      <c r="AC526" s="121"/>
      <c r="AD526" s="121"/>
      <c r="AE526" s="121"/>
      <c r="AF526" s="121"/>
      <c r="AG526" s="121"/>
      <c r="AH526" s="121"/>
      <c r="AI526" s="121"/>
    </row>
    <row r="527">
      <c r="A527" s="130"/>
      <c r="B527" s="131"/>
      <c r="C527" s="130"/>
      <c r="D527" s="132"/>
      <c r="E527" s="130"/>
      <c r="F527" s="130"/>
      <c r="G527" s="133"/>
      <c r="H527" s="134"/>
      <c r="I527" s="130"/>
      <c r="J527" s="130"/>
      <c r="K527" s="130"/>
      <c r="L527" s="130"/>
      <c r="M527" s="130"/>
      <c r="N527" s="130"/>
      <c r="O527" s="130"/>
      <c r="P527" s="130"/>
      <c r="Q527" s="130"/>
      <c r="R527" s="135"/>
      <c r="S527" s="135"/>
      <c r="T527" s="136"/>
      <c r="U527" s="137"/>
      <c r="V527" s="130"/>
      <c r="W527" s="138"/>
      <c r="X527" s="138"/>
      <c r="Y527" s="130"/>
      <c r="Z527" s="130"/>
      <c r="AA527" s="130"/>
      <c r="AB527" s="130"/>
      <c r="AC527" s="130"/>
      <c r="AD527" s="130"/>
      <c r="AE527" s="130"/>
      <c r="AF527" s="130"/>
      <c r="AG527" s="130"/>
      <c r="AH527" s="130"/>
      <c r="AI527" s="130"/>
    </row>
    <row r="528">
      <c r="A528" s="121"/>
      <c r="B528" s="122"/>
      <c r="C528" s="121"/>
      <c r="D528" s="123"/>
      <c r="E528" s="121"/>
      <c r="F528" s="121"/>
      <c r="G528" s="124"/>
      <c r="H528" s="125"/>
      <c r="I528" s="121"/>
      <c r="J528" s="121"/>
      <c r="K528" s="121"/>
      <c r="L528" s="121"/>
      <c r="M528" s="121"/>
      <c r="N528" s="121"/>
      <c r="O528" s="121"/>
      <c r="P528" s="121"/>
      <c r="Q528" s="121"/>
      <c r="R528" s="126"/>
      <c r="S528" s="126"/>
      <c r="T528" s="127"/>
      <c r="U528" s="128"/>
      <c r="V528" s="121"/>
      <c r="W528" s="129"/>
      <c r="X528" s="129"/>
      <c r="Y528" s="121"/>
      <c r="Z528" s="121"/>
      <c r="AA528" s="121"/>
      <c r="AB528" s="121"/>
      <c r="AC528" s="121"/>
      <c r="AD528" s="121"/>
      <c r="AE528" s="121"/>
      <c r="AF528" s="121"/>
      <c r="AG528" s="121"/>
      <c r="AH528" s="121"/>
      <c r="AI528" s="121"/>
    </row>
    <row r="529">
      <c r="A529" s="130"/>
      <c r="B529" s="131"/>
      <c r="C529" s="130"/>
      <c r="D529" s="132"/>
      <c r="E529" s="130"/>
      <c r="F529" s="130"/>
      <c r="G529" s="133"/>
      <c r="H529" s="134"/>
      <c r="I529" s="130"/>
      <c r="J529" s="130"/>
      <c r="K529" s="130"/>
      <c r="L529" s="130"/>
      <c r="M529" s="130"/>
      <c r="N529" s="130"/>
      <c r="O529" s="130"/>
      <c r="P529" s="130"/>
      <c r="Q529" s="130"/>
      <c r="R529" s="135"/>
      <c r="S529" s="135"/>
      <c r="T529" s="136"/>
      <c r="U529" s="137"/>
      <c r="V529" s="130"/>
      <c r="W529" s="138"/>
      <c r="X529" s="138"/>
      <c r="Y529" s="130"/>
      <c r="Z529" s="130"/>
      <c r="AA529" s="130"/>
      <c r="AB529" s="130"/>
      <c r="AC529" s="130"/>
      <c r="AD529" s="130"/>
      <c r="AE529" s="130"/>
      <c r="AF529" s="130"/>
      <c r="AG529" s="130"/>
      <c r="AH529" s="130"/>
      <c r="AI529" s="130"/>
    </row>
    <row r="530">
      <c r="A530" s="121"/>
      <c r="B530" s="122"/>
      <c r="C530" s="121"/>
      <c r="D530" s="123"/>
      <c r="E530" s="121"/>
      <c r="F530" s="121"/>
      <c r="G530" s="124"/>
      <c r="H530" s="125"/>
      <c r="I530" s="121"/>
      <c r="J530" s="121"/>
      <c r="K530" s="121"/>
      <c r="L530" s="121"/>
      <c r="M530" s="121"/>
      <c r="N530" s="121"/>
      <c r="O530" s="121"/>
      <c r="P530" s="121"/>
      <c r="Q530" s="121"/>
      <c r="R530" s="126"/>
      <c r="S530" s="126"/>
      <c r="T530" s="127"/>
      <c r="U530" s="128"/>
      <c r="V530" s="121"/>
      <c r="W530" s="129"/>
      <c r="X530" s="129"/>
      <c r="Y530" s="121"/>
      <c r="Z530" s="121"/>
      <c r="AA530" s="121"/>
      <c r="AB530" s="121"/>
      <c r="AC530" s="121"/>
      <c r="AD530" s="121"/>
      <c r="AE530" s="121"/>
      <c r="AF530" s="121"/>
      <c r="AG530" s="121"/>
      <c r="AH530" s="121"/>
      <c r="AI530" s="121"/>
    </row>
    <row r="531">
      <c r="A531" s="130"/>
      <c r="B531" s="131"/>
      <c r="C531" s="130"/>
      <c r="D531" s="132"/>
      <c r="E531" s="130"/>
      <c r="F531" s="130"/>
      <c r="G531" s="133"/>
      <c r="H531" s="134"/>
      <c r="I531" s="130"/>
      <c r="J531" s="130"/>
      <c r="K531" s="130"/>
      <c r="L531" s="130"/>
      <c r="M531" s="130"/>
      <c r="N531" s="130"/>
      <c r="O531" s="130"/>
      <c r="P531" s="130"/>
      <c r="Q531" s="130"/>
      <c r="R531" s="135"/>
      <c r="S531" s="135"/>
      <c r="T531" s="136"/>
      <c r="U531" s="137"/>
      <c r="V531" s="130"/>
      <c r="W531" s="138"/>
      <c r="X531" s="138"/>
      <c r="Y531" s="130"/>
      <c r="Z531" s="130"/>
      <c r="AA531" s="130"/>
      <c r="AB531" s="130"/>
      <c r="AC531" s="130"/>
      <c r="AD531" s="130"/>
      <c r="AE531" s="130"/>
      <c r="AF531" s="130"/>
      <c r="AG531" s="130"/>
      <c r="AH531" s="130"/>
      <c r="AI531" s="130"/>
    </row>
    <row r="532">
      <c r="A532" s="121"/>
      <c r="B532" s="122"/>
      <c r="C532" s="121"/>
      <c r="D532" s="123"/>
      <c r="E532" s="121"/>
      <c r="F532" s="121"/>
      <c r="G532" s="124"/>
      <c r="H532" s="125"/>
      <c r="I532" s="121"/>
      <c r="J532" s="121"/>
      <c r="K532" s="121"/>
      <c r="L532" s="121"/>
      <c r="M532" s="121"/>
      <c r="N532" s="121"/>
      <c r="O532" s="121"/>
      <c r="P532" s="121"/>
      <c r="Q532" s="121"/>
      <c r="R532" s="126"/>
      <c r="S532" s="126"/>
      <c r="T532" s="127"/>
      <c r="U532" s="128"/>
      <c r="V532" s="121"/>
      <c r="W532" s="129"/>
      <c r="X532" s="129"/>
      <c r="Y532" s="121"/>
      <c r="Z532" s="121"/>
      <c r="AA532" s="121"/>
      <c r="AB532" s="121"/>
      <c r="AC532" s="121"/>
      <c r="AD532" s="121"/>
      <c r="AE532" s="121"/>
      <c r="AF532" s="121"/>
      <c r="AG532" s="121"/>
      <c r="AH532" s="121"/>
      <c r="AI532" s="121"/>
    </row>
    <row r="533">
      <c r="A533" s="130"/>
      <c r="B533" s="131"/>
      <c r="C533" s="130"/>
      <c r="D533" s="132"/>
      <c r="E533" s="130"/>
      <c r="F533" s="130"/>
      <c r="G533" s="133"/>
      <c r="H533" s="134"/>
      <c r="I533" s="130"/>
      <c r="J533" s="130"/>
      <c r="K533" s="130"/>
      <c r="L533" s="130"/>
      <c r="M533" s="130"/>
      <c r="N533" s="130"/>
      <c r="O533" s="130"/>
      <c r="P533" s="130"/>
      <c r="Q533" s="130"/>
      <c r="R533" s="135"/>
      <c r="S533" s="135"/>
      <c r="T533" s="136"/>
      <c r="U533" s="137"/>
      <c r="V533" s="130"/>
      <c r="W533" s="138"/>
      <c r="X533" s="138"/>
      <c r="Y533" s="130"/>
      <c r="Z533" s="130"/>
      <c r="AA533" s="130"/>
      <c r="AB533" s="130"/>
      <c r="AC533" s="130"/>
      <c r="AD533" s="130"/>
      <c r="AE533" s="130"/>
      <c r="AF533" s="130"/>
      <c r="AG533" s="130"/>
      <c r="AH533" s="130"/>
      <c r="AI533" s="130"/>
    </row>
    <row r="534">
      <c r="A534" s="121"/>
      <c r="B534" s="122"/>
      <c r="C534" s="121"/>
      <c r="D534" s="123"/>
      <c r="E534" s="121"/>
      <c r="F534" s="121"/>
      <c r="G534" s="124"/>
      <c r="H534" s="125"/>
      <c r="I534" s="121"/>
      <c r="J534" s="121"/>
      <c r="K534" s="121"/>
      <c r="L534" s="121"/>
      <c r="M534" s="121"/>
      <c r="N534" s="121"/>
      <c r="O534" s="121"/>
      <c r="P534" s="121"/>
      <c r="Q534" s="121"/>
      <c r="R534" s="126"/>
      <c r="S534" s="126"/>
      <c r="T534" s="127"/>
      <c r="U534" s="128"/>
      <c r="V534" s="121"/>
      <c r="W534" s="129"/>
      <c r="X534" s="129"/>
      <c r="Y534" s="121"/>
      <c r="Z534" s="121"/>
      <c r="AA534" s="121"/>
      <c r="AB534" s="121"/>
      <c r="AC534" s="121"/>
      <c r="AD534" s="121"/>
      <c r="AE534" s="121"/>
      <c r="AF534" s="121"/>
      <c r="AG534" s="121"/>
      <c r="AH534" s="121"/>
      <c r="AI534" s="121"/>
    </row>
    <row r="535">
      <c r="A535" s="130"/>
      <c r="B535" s="131"/>
      <c r="C535" s="130"/>
      <c r="D535" s="132"/>
      <c r="E535" s="130"/>
      <c r="F535" s="130"/>
      <c r="G535" s="133"/>
      <c r="H535" s="134"/>
      <c r="I535" s="130"/>
      <c r="J535" s="130"/>
      <c r="K535" s="130"/>
      <c r="L535" s="130"/>
      <c r="M535" s="130"/>
      <c r="N535" s="130"/>
      <c r="O535" s="130"/>
      <c r="P535" s="130"/>
      <c r="Q535" s="130"/>
      <c r="R535" s="135"/>
      <c r="S535" s="135"/>
      <c r="T535" s="136"/>
      <c r="U535" s="137"/>
      <c r="V535" s="130"/>
      <c r="W535" s="138"/>
      <c r="X535" s="138"/>
      <c r="Y535" s="130"/>
      <c r="Z535" s="130"/>
      <c r="AA535" s="130"/>
      <c r="AB535" s="130"/>
      <c r="AC535" s="130"/>
      <c r="AD535" s="130"/>
      <c r="AE535" s="130"/>
      <c r="AF535" s="130"/>
      <c r="AG535" s="130"/>
      <c r="AH535" s="130"/>
      <c r="AI535" s="130"/>
    </row>
    <row r="536">
      <c r="A536" s="121"/>
      <c r="B536" s="122"/>
      <c r="C536" s="121"/>
      <c r="D536" s="123"/>
      <c r="E536" s="121"/>
      <c r="F536" s="121"/>
      <c r="G536" s="124"/>
      <c r="H536" s="125"/>
      <c r="I536" s="121"/>
      <c r="J536" s="121"/>
      <c r="K536" s="121"/>
      <c r="L536" s="121"/>
      <c r="M536" s="121"/>
      <c r="N536" s="121"/>
      <c r="O536" s="121"/>
      <c r="P536" s="121"/>
      <c r="Q536" s="121"/>
      <c r="R536" s="126"/>
      <c r="S536" s="126"/>
      <c r="T536" s="127"/>
      <c r="U536" s="128"/>
      <c r="V536" s="121"/>
      <c r="W536" s="129"/>
      <c r="X536" s="129"/>
      <c r="Y536" s="121"/>
      <c r="Z536" s="121"/>
      <c r="AA536" s="121"/>
      <c r="AB536" s="121"/>
      <c r="AC536" s="121"/>
      <c r="AD536" s="121"/>
      <c r="AE536" s="121"/>
      <c r="AF536" s="121"/>
      <c r="AG536" s="121"/>
      <c r="AH536" s="121"/>
      <c r="AI536" s="121"/>
    </row>
    <row r="537">
      <c r="A537" s="130"/>
      <c r="B537" s="131"/>
      <c r="C537" s="130"/>
      <c r="D537" s="132"/>
      <c r="E537" s="130"/>
      <c r="F537" s="130"/>
      <c r="G537" s="133"/>
      <c r="H537" s="134"/>
      <c r="I537" s="130"/>
      <c r="J537" s="130"/>
      <c r="K537" s="130"/>
      <c r="L537" s="130"/>
      <c r="M537" s="130"/>
      <c r="N537" s="130"/>
      <c r="O537" s="130"/>
      <c r="P537" s="130"/>
      <c r="Q537" s="130"/>
      <c r="R537" s="135"/>
      <c r="S537" s="135"/>
      <c r="T537" s="136"/>
      <c r="U537" s="137"/>
      <c r="V537" s="130"/>
      <c r="W537" s="138"/>
      <c r="X537" s="138"/>
      <c r="Y537" s="130"/>
      <c r="Z537" s="130"/>
      <c r="AA537" s="130"/>
      <c r="AB537" s="130"/>
      <c r="AC537" s="130"/>
      <c r="AD537" s="130"/>
      <c r="AE537" s="130"/>
      <c r="AF537" s="130"/>
      <c r="AG537" s="130"/>
      <c r="AH537" s="130"/>
      <c r="AI537" s="130"/>
    </row>
    <row r="538">
      <c r="A538" s="121"/>
      <c r="B538" s="122"/>
      <c r="C538" s="121"/>
      <c r="D538" s="123"/>
      <c r="E538" s="121"/>
      <c r="F538" s="121"/>
      <c r="G538" s="124"/>
      <c r="H538" s="125"/>
      <c r="I538" s="121"/>
      <c r="J538" s="121"/>
      <c r="K538" s="121"/>
      <c r="L538" s="121"/>
      <c r="M538" s="121"/>
      <c r="N538" s="121"/>
      <c r="O538" s="121"/>
      <c r="P538" s="121"/>
      <c r="Q538" s="121"/>
      <c r="R538" s="126"/>
      <c r="S538" s="126"/>
      <c r="T538" s="127"/>
      <c r="U538" s="128"/>
      <c r="V538" s="121"/>
      <c r="W538" s="129"/>
      <c r="X538" s="129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</row>
    <row r="539">
      <c r="A539" s="130"/>
      <c r="B539" s="131"/>
      <c r="C539" s="130"/>
      <c r="D539" s="132"/>
      <c r="E539" s="130"/>
      <c r="F539" s="130"/>
      <c r="G539" s="133"/>
      <c r="H539" s="134"/>
      <c r="I539" s="130"/>
      <c r="J539" s="130"/>
      <c r="K539" s="130"/>
      <c r="L539" s="130"/>
      <c r="M539" s="130"/>
      <c r="N539" s="130"/>
      <c r="O539" s="130"/>
      <c r="P539" s="130"/>
      <c r="Q539" s="130"/>
      <c r="R539" s="135"/>
      <c r="S539" s="135"/>
      <c r="T539" s="136"/>
      <c r="U539" s="137"/>
      <c r="V539" s="130"/>
      <c r="W539" s="138"/>
      <c r="X539" s="138"/>
      <c r="Y539" s="130"/>
      <c r="Z539" s="130"/>
      <c r="AA539" s="130"/>
      <c r="AB539" s="130"/>
      <c r="AC539" s="130"/>
      <c r="AD539" s="130"/>
      <c r="AE539" s="130"/>
      <c r="AF539" s="130"/>
      <c r="AG539" s="130"/>
      <c r="AH539" s="130"/>
      <c r="AI539" s="130"/>
    </row>
    <row r="540">
      <c r="A540" s="121"/>
      <c r="B540" s="122"/>
      <c r="C540" s="121"/>
      <c r="D540" s="123"/>
      <c r="E540" s="121"/>
      <c r="F540" s="121"/>
      <c r="G540" s="124"/>
      <c r="H540" s="125"/>
      <c r="I540" s="121"/>
      <c r="J540" s="121"/>
      <c r="K540" s="121"/>
      <c r="L540" s="121"/>
      <c r="M540" s="121"/>
      <c r="N540" s="121"/>
      <c r="O540" s="121"/>
      <c r="P540" s="121"/>
      <c r="Q540" s="121"/>
      <c r="R540" s="126"/>
      <c r="S540" s="126"/>
      <c r="T540" s="127"/>
      <c r="U540" s="128"/>
      <c r="V540" s="121"/>
      <c r="W540" s="129"/>
      <c r="X540" s="129"/>
      <c r="Y540" s="121"/>
      <c r="Z540" s="121"/>
      <c r="AA540" s="121"/>
      <c r="AB540" s="121"/>
      <c r="AC540" s="121"/>
      <c r="AD540" s="121"/>
      <c r="AE540" s="121"/>
      <c r="AF540" s="121"/>
      <c r="AG540" s="121"/>
      <c r="AH540" s="121"/>
      <c r="AI540" s="121"/>
    </row>
    <row r="541">
      <c r="A541" s="130"/>
      <c r="B541" s="131"/>
      <c r="C541" s="130"/>
      <c r="D541" s="132"/>
      <c r="E541" s="130"/>
      <c r="F541" s="130"/>
      <c r="G541" s="133"/>
      <c r="H541" s="134"/>
      <c r="I541" s="130"/>
      <c r="J541" s="130"/>
      <c r="K541" s="130"/>
      <c r="L541" s="130"/>
      <c r="M541" s="130"/>
      <c r="N541" s="130"/>
      <c r="O541" s="130"/>
      <c r="P541" s="130"/>
      <c r="Q541" s="130"/>
      <c r="R541" s="135"/>
      <c r="S541" s="135"/>
      <c r="T541" s="136"/>
      <c r="U541" s="137"/>
      <c r="V541" s="130"/>
      <c r="W541" s="138"/>
      <c r="X541" s="138"/>
      <c r="Y541" s="130"/>
      <c r="Z541" s="130"/>
      <c r="AA541" s="130"/>
      <c r="AB541" s="130"/>
      <c r="AC541" s="130"/>
      <c r="AD541" s="130"/>
      <c r="AE541" s="130"/>
      <c r="AF541" s="130"/>
      <c r="AG541" s="130"/>
      <c r="AH541" s="130"/>
      <c r="AI541" s="130"/>
    </row>
    <row r="542">
      <c r="A542" s="121"/>
      <c r="B542" s="122"/>
      <c r="C542" s="121"/>
      <c r="D542" s="123"/>
      <c r="E542" s="121"/>
      <c r="F542" s="121"/>
      <c r="G542" s="124"/>
      <c r="H542" s="125"/>
      <c r="I542" s="121"/>
      <c r="J542" s="121"/>
      <c r="K542" s="121"/>
      <c r="L542" s="121"/>
      <c r="M542" s="121"/>
      <c r="N542" s="121"/>
      <c r="O542" s="121"/>
      <c r="P542" s="121"/>
      <c r="Q542" s="121"/>
      <c r="R542" s="126"/>
      <c r="S542" s="126"/>
      <c r="T542" s="127"/>
      <c r="U542" s="128"/>
      <c r="V542" s="121"/>
      <c r="W542" s="129"/>
      <c r="X542" s="129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</row>
    <row r="543">
      <c r="A543" s="130"/>
      <c r="B543" s="131"/>
      <c r="C543" s="130"/>
      <c r="D543" s="132"/>
      <c r="E543" s="130"/>
      <c r="F543" s="130"/>
      <c r="G543" s="133"/>
      <c r="H543" s="134"/>
      <c r="I543" s="130"/>
      <c r="J543" s="130"/>
      <c r="K543" s="130"/>
      <c r="L543" s="130"/>
      <c r="M543" s="130"/>
      <c r="N543" s="130"/>
      <c r="O543" s="130"/>
      <c r="P543" s="130"/>
      <c r="Q543" s="130"/>
      <c r="R543" s="135"/>
      <c r="S543" s="135"/>
      <c r="T543" s="136"/>
      <c r="U543" s="137"/>
      <c r="V543" s="130"/>
      <c r="W543" s="138"/>
      <c r="X543" s="138"/>
      <c r="Y543" s="130"/>
      <c r="Z543" s="130"/>
      <c r="AA543" s="130"/>
      <c r="AB543" s="130"/>
      <c r="AC543" s="130"/>
      <c r="AD543" s="130"/>
      <c r="AE543" s="130"/>
      <c r="AF543" s="130"/>
      <c r="AG543" s="130"/>
      <c r="AH543" s="130"/>
      <c r="AI543" s="130"/>
    </row>
    <row r="544">
      <c r="A544" s="121"/>
      <c r="B544" s="122"/>
      <c r="C544" s="121"/>
      <c r="D544" s="123"/>
      <c r="E544" s="121"/>
      <c r="F544" s="121"/>
      <c r="G544" s="124"/>
      <c r="H544" s="125"/>
      <c r="I544" s="121"/>
      <c r="J544" s="121"/>
      <c r="K544" s="121"/>
      <c r="L544" s="121"/>
      <c r="M544" s="121"/>
      <c r="N544" s="121"/>
      <c r="O544" s="121"/>
      <c r="P544" s="121"/>
      <c r="Q544" s="121"/>
      <c r="R544" s="126"/>
      <c r="S544" s="126"/>
      <c r="T544" s="127"/>
      <c r="U544" s="128"/>
      <c r="V544" s="121"/>
      <c r="W544" s="129"/>
      <c r="X544" s="129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</row>
    <row r="545">
      <c r="A545" s="130"/>
      <c r="B545" s="131"/>
      <c r="C545" s="130"/>
      <c r="D545" s="132"/>
      <c r="E545" s="130"/>
      <c r="F545" s="130"/>
      <c r="G545" s="133"/>
      <c r="H545" s="134"/>
      <c r="I545" s="130"/>
      <c r="J545" s="130"/>
      <c r="K545" s="130"/>
      <c r="L545" s="130"/>
      <c r="M545" s="130"/>
      <c r="N545" s="130"/>
      <c r="O545" s="130"/>
      <c r="P545" s="130"/>
      <c r="Q545" s="130"/>
      <c r="R545" s="135"/>
      <c r="S545" s="135"/>
      <c r="T545" s="136"/>
      <c r="U545" s="137"/>
      <c r="V545" s="130"/>
      <c r="W545" s="138"/>
      <c r="X545" s="138"/>
      <c r="Y545" s="130"/>
      <c r="Z545" s="130"/>
      <c r="AA545" s="130"/>
      <c r="AB545" s="130"/>
      <c r="AC545" s="130"/>
      <c r="AD545" s="130"/>
      <c r="AE545" s="130"/>
      <c r="AF545" s="130"/>
      <c r="AG545" s="130"/>
      <c r="AH545" s="130"/>
      <c r="AI545" s="130"/>
    </row>
    <row r="546">
      <c r="A546" s="121"/>
      <c r="B546" s="122"/>
      <c r="C546" s="121"/>
      <c r="D546" s="123"/>
      <c r="E546" s="121"/>
      <c r="F546" s="121"/>
      <c r="G546" s="124"/>
      <c r="H546" s="125"/>
      <c r="I546" s="121"/>
      <c r="J546" s="121"/>
      <c r="K546" s="121"/>
      <c r="L546" s="121"/>
      <c r="M546" s="121"/>
      <c r="N546" s="121"/>
      <c r="O546" s="121"/>
      <c r="P546" s="121"/>
      <c r="Q546" s="121"/>
      <c r="R546" s="126"/>
      <c r="S546" s="126"/>
      <c r="T546" s="127"/>
      <c r="U546" s="128"/>
      <c r="V546" s="121"/>
      <c r="W546" s="129"/>
      <c r="X546" s="129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</row>
    <row r="547">
      <c r="A547" s="130"/>
      <c r="B547" s="131"/>
      <c r="C547" s="130"/>
      <c r="D547" s="132"/>
      <c r="E547" s="130"/>
      <c r="F547" s="130"/>
      <c r="G547" s="133"/>
      <c r="H547" s="134"/>
      <c r="I547" s="130"/>
      <c r="J547" s="130"/>
      <c r="K547" s="130"/>
      <c r="L547" s="130"/>
      <c r="M547" s="130"/>
      <c r="N547" s="130"/>
      <c r="O547" s="130"/>
      <c r="P547" s="130"/>
      <c r="Q547" s="130"/>
      <c r="R547" s="135"/>
      <c r="S547" s="135"/>
      <c r="T547" s="136"/>
      <c r="U547" s="137"/>
      <c r="V547" s="130"/>
      <c r="W547" s="138"/>
      <c r="X547" s="138"/>
      <c r="Y547" s="130"/>
      <c r="Z547" s="130"/>
      <c r="AA547" s="130"/>
      <c r="AB547" s="130"/>
      <c r="AC547" s="130"/>
      <c r="AD547" s="130"/>
      <c r="AE547" s="130"/>
      <c r="AF547" s="130"/>
      <c r="AG547" s="130"/>
      <c r="AH547" s="130"/>
      <c r="AI547" s="130"/>
    </row>
    <row r="548">
      <c r="A548" s="121"/>
      <c r="B548" s="122"/>
      <c r="C548" s="121"/>
      <c r="D548" s="123"/>
      <c r="E548" s="121"/>
      <c r="F548" s="121"/>
      <c r="G548" s="124"/>
      <c r="H548" s="125"/>
      <c r="I548" s="121"/>
      <c r="J548" s="121"/>
      <c r="K548" s="121"/>
      <c r="L548" s="121"/>
      <c r="M548" s="121"/>
      <c r="N548" s="121"/>
      <c r="O548" s="121"/>
      <c r="P548" s="121"/>
      <c r="Q548" s="121"/>
      <c r="R548" s="126"/>
      <c r="S548" s="126"/>
      <c r="T548" s="127"/>
      <c r="U548" s="128"/>
      <c r="V548" s="121"/>
      <c r="W548" s="129"/>
      <c r="X548" s="129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</row>
    <row r="549">
      <c r="A549" s="130"/>
      <c r="B549" s="131"/>
      <c r="C549" s="130"/>
      <c r="D549" s="132"/>
      <c r="E549" s="130"/>
      <c r="F549" s="130"/>
      <c r="G549" s="133"/>
      <c r="H549" s="134"/>
      <c r="I549" s="130"/>
      <c r="J549" s="130"/>
      <c r="K549" s="130"/>
      <c r="L549" s="130"/>
      <c r="M549" s="130"/>
      <c r="N549" s="130"/>
      <c r="O549" s="130"/>
      <c r="P549" s="130"/>
      <c r="Q549" s="130"/>
      <c r="R549" s="135"/>
      <c r="S549" s="135"/>
      <c r="T549" s="136"/>
      <c r="U549" s="137"/>
      <c r="V549" s="130"/>
      <c r="W549" s="138"/>
      <c r="X549" s="138"/>
      <c r="Y549" s="130"/>
      <c r="Z549" s="130"/>
      <c r="AA549" s="130"/>
      <c r="AB549" s="130"/>
      <c r="AC549" s="130"/>
      <c r="AD549" s="130"/>
      <c r="AE549" s="130"/>
      <c r="AF549" s="130"/>
      <c r="AG549" s="130"/>
      <c r="AH549" s="130"/>
      <c r="AI549" s="130"/>
    </row>
    <row r="550">
      <c r="A550" s="121"/>
      <c r="B550" s="122"/>
      <c r="C550" s="121"/>
      <c r="D550" s="123"/>
      <c r="E550" s="121"/>
      <c r="F550" s="121"/>
      <c r="G550" s="124"/>
      <c r="H550" s="125"/>
      <c r="I550" s="121"/>
      <c r="J550" s="121"/>
      <c r="K550" s="121"/>
      <c r="L550" s="121"/>
      <c r="M550" s="121"/>
      <c r="N550" s="121"/>
      <c r="O550" s="121"/>
      <c r="P550" s="121"/>
      <c r="Q550" s="121"/>
      <c r="R550" s="126"/>
      <c r="S550" s="126"/>
      <c r="T550" s="127"/>
      <c r="U550" s="128"/>
      <c r="V550" s="121"/>
      <c r="W550" s="129"/>
      <c r="X550" s="129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</row>
    <row r="551">
      <c r="A551" s="130"/>
      <c r="B551" s="131"/>
      <c r="C551" s="130"/>
      <c r="D551" s="132"/>
      <c r="E551" s="130"/>
      <c r="F551" s="130"/>
      <c r="G551" s="133"/>
      <c r="H551" s="134"/>
      <c r="I551" s="130"/>
      <c r="J551" s="130"/>
      <c r="K551" s="130"/>
      <c r="L551" s="130"/>
      <c r="M551" s="130"/>
      <c r="N551" s="130"/>
      <c r="O551" s="130"/>
      <c r="P551" s="130"/>
      <c r="Q551" s="130"/>
      <c r="R551" s="135"/>
      <c r="S551" s="135"/>
      <c r="T551" s="136"/>
      <c r="U551" s="137"/>
      <c r="V551" s="130"/>
      <c r="W551" s="138"/>
      <c r="X551" s="138"/>
      <c r="Y551" s="130"/>
      <c r="Z551" s="130"/>
      <c r="AA551" s="130"/>
      <c r="AB551" s="130"/>
      <c r="AC551" s="130"/>
      <c r="AD551" s="130"/>
      <c r="AE551" s="130"/>
      <c r="AF551" s="130"/>
      <c r="AG551" s="130"/>
      <c r="AH551" s="130"/>
      <c r="AI551" s="130"/>
    </row>
    <row r="552">
      <c r="A552" s="121"/>
      <c r="B552" s="122"/>
      <c r="C552" s="121"/>
      <c r="D552" s="123"/>
      <c r="E552" s="121"/>
      <c r="F552" s="121"/>
      <c r="G552" s="124"/>
      <c r="H552" s="125"/>
      <c r="I552" s="121"/>
      <c r="J552" s="121"/>
      <c r="K552" s="121"/>
      <c r="L552" s="121"/>
      <c r="M552" s="121"/>
      <c r="N552" s="121"/>
      <c r="O552" s="121"/>
      <c r="P552" s="121"/>
      <c r="Q552" s="121"/>
      <c r="R552" s="126"/>
      <c r="S552" s="126"/>
      <c r="T552" s="127"/>
      <c r="U552" s="128"/>
      <c r="V552" s="121"/>
      <c r="W552" s="129"/>
      <c r="X552" s="129"/>
      <c r="Y552" s="121"/>
      <c r="Z552" s="121"/>
      <c r="AA552" s="121"/>
      <c r="AB552" s="121"/>
      <c r="AC552" s="121"/>
      <c r="AD552" s="121"/>
      <c r="AE552" s="121"/>
      <c r="AF552" s="121"/>
      <c r="AG552" s="121"/>
      <c r="AH552" s="121"/>
      <c r="AI552" s="121"/>
    </row>
    <row r="553">
      <c r="A553" s="130"/>
      <c r="B553" s="131"/>
      <c r="C553" s="130"/>
      <c r="D553" s="132"/>
      <c r="E553" s="130"/>
      <c r="F553" s="130"/>
      <c r="G553" s="133"/>
      <c r="H553" s="134"/>
      <c r="I553" s="130"/>
      <c r="J553" s="130"/>
      <c r="K553" s="130"/>
      <c r="L553" s="130"/>
      <c r="M553" s="130"/>
      <c r="N553" s="130"/>
      <c r="O553" s="130"/>
      <c r="P553" s="130"/>
      <c r="Q553" s="130"/>
      <c r="R553" s="135"/>
      <c r="S553" s="135"/>
      <c r="T553" s="136"/>
      <c r="U553" s="137"/>
      <c r="V553" s="130"/>
      <c r="W553" s="138"/>
      <c r="X553" s="138"/>
      <c r="Y553" s="130"/>
      <c r="Z553" s="130"/>
      <c r="AA553" s="130"/>
      <c r="AB553" s="130"/>
      <c r="AC553" s="130"/>
      <c r="AD553" s="130"/>
      <c r="AE553" s="130"/>
      <c r="AF553" s="130"/>
      <c r="AG553" s="130"/>
      <c r="AH553" s="130"/>
      <c r="AI553" s="130"/>
    </row>
    <row r="554">
      <c r="A554" s="121"/>
      <c r="B554" s="122"/>
      <c r="C554" s="121"/>
      <c r="D554" s="123"/>
      <c r="E554" s="121"/>
      <c r="F554" s="121"/>
      <c r="G554" s="124"/>
      <c r="H554" s="125"/>
      <c r="I554" s="121"/>
      <c r="J554" s="121"/>
      <c r="K554" s="121"/>
      <c r="L554" s="121"/>
      <c r="M554" s="121"/>
      <c r="N554" s="121"/>
      <c r="O554" s="121"/>
      <c r="P554" s="121"/>
      <c r="Q554" s="121"/>
      <c r="R554" s="126"/>
      <c r="S554" s="126"/>
      <c r="T554" s="127"/>
      <c r="U554" s="128"/>
      <c r="V554" s="121"/>
      <c r="W554" s="129"/>
      <c r="X554" s="129"/>
      <c r="Y554" s="121"/>
      <c r="Z554" s="121"/>
      <c r="AA554" s="121"/>
      <c r="AB554" s="121"/>
      <c r="AC554" s="121"/>
      <c r="AD554" s="121"/>
      <c r="AE554" s="121"/>
      <c r="AF554" s="121"/>
      <c r="AG554" s="121"/>
      <c r="AH554" s="121"/>
      <c r="AI554" s="121"/>
    </row>
    <row r="555">
      <c r="A555" s="130"/>
      <c r="B555" s="131"/>
      <c r="C555" s="130"/>
      <c r="D555" s="132"/>
      <c r="E555" s="130"/>
      <c r="F555" s="130"/>
      <c r="G555" s="133"/>
      <c r="H555" s="134"/>
      <c r="I555" s="130"/>
      <c r="J555" s="130"/>
      <c r="K555" s="130"/>
      <c r="L555" s="130"/>
      <c r="M555" s="130"/>
      <c r="N555" s="130"/>
      <c r="O555" s="130"/>
      <c r="P555" s="130"/>
      <c r="Q555" s="130"/>
      <c r="R555" s="135"/>
      <c r="S555" s="135"/>
      <c r="T555" s="136"/>
      <c r="U555" s="137"/>
      <c r="V555" s="130"/>
      <c r="W555" s="138"/>
      <c r="X555" s="138"/>
      <c r="Y555" s="130"/>
      <c r="Z555" s="130"/>
      <c r="AA555" s="130"/>
      <c r="AB555" s="130"/>
      <c r="AC555" s="130"/>
      <c r="AD555" s="130"/>
      <c r="AE555" s="130"/>
      <c r="AF555" s="130"/>
      <c r="AG555" s="130"/>
      <c r="AH555" s="130"/>
      <c r="AI555" s="130"/>
    </row>
    <row r="556">
      <c r="A556" s="121"/>
      <c r="B556" s="122"/>
      <c r="C556" s="121"/>
      <c r="D556" s="123"/>
      <c r="E556" s="121"/>
      <c r="F556" s="121"/>
      <c r="G556" s="124"/>
      <c r="H556" s="125"/>
      <c r="I556" s="121"/>
      <c r="J556" s="121"/>
      <c r="K556" s="121"/>
      <c r="L556" s="121"/>
      <c r="M556" s="121"/>
      <c r="N556" s="121"/>
      <c r="O556" s="121"/>
      <c r="P556" s="121"/>
      <c r="Q556" s="121"/>
      <c r="R556" s="126"/>
      <c r="S556" s="126"/>
      <c r="T556" s="127"/>
      <c r="U556" s="128"/>
      <c r="V556" s="121"/>
      <c r="W556" s="129"/>
      <c r="X556" s="129"/>
      <c r="Y556" s="121"/>
      <c r="Z556" s="121"/>
      <c r="AA556" s="121"/>
      <c r="AB556" s="121"/>
      <c r="AC556" s="121"/>
      <c r="AD556" s="121"/>
      <c r="AE556" s="121"/>
      <c r="AF556" s="121"/>
      <c r="AG556" s="121"/>
      <c r="AH556" s="121"/>
      <c r="AI556" s="121"/>
    </row>
    <row r="557">
      <c r="A557" s="130"/>
      <c r="B557" s="131"/>
      <c r="C557" s="130"/>
      <c r="D557" s="132"/>
      <c r="E557" s="130"/>
      <c r="F557" s="130"/>
      <c r="G557" s="133"/>
      <c r="H557" s="134"/>
      <c r="I557" s="130"/>
      <c r="J557" s="130"/>
      <c r="K557" s="130"/>
      <c r="L557" s="130"/>
      <c r="M557" s="130"/>
      <c r="N557" s="130"/>
      <c r="O557" s="130"/>
      <c r="P557" s="130"/>
      <c r="Q557" s="130"/>
      <c r="R557" s="135"/>
      <c r="S557" s="135"/>
      <c r="T557" s="136"/>
      <c r="U557" s="137"/>
      <c r="V557" s="130"/>
      <c r="W557" s="138"/>
      <c r="X557" s="138"/>
      <c r="Y557" s="130"/>
      <c r="Z557" s="130"/>
      <c r="AA557" s="130"/>
      <c r="AB557" s="130"/>
      <c r="AC557" s="130"/>
      <c r="AD557" s="130"/>
      <c r="AE557" s="130"/>
      <c r="AF557" s="130"/>
      <c r="AG557" s="130"/>
      <c r="AH557" s="130"/>
      <c r="AI557" s="130"/>
    </row>
    <row r="558">
      <c r="A558" s="121"/>
      <c r="B558" s="122"/>
      <c r="C558" s="121"/>
      <c r="D558" s="123"/>
      <c r="E558" s="121"/>
      <c r="F558" s="121"/>
      <c r="G558" s="124"/>
      <c r="H558" s="125"/>
      <c r="I558" s="121"/>
      <c r="J558" s="121"/>
      <c r="K558" s="121"/>
      <c r="L558" s="121"/>
      <c r="M558" s="121"/>
      <c r="N558" s="121"/>
      <c r="O558" s="121"/>
      <c r="P558" s="121"/>
      <c r="Q558" s="121"/>
      <c r="R558" s="126"/>
      <c r="S558" s="126"/>
      <c r="T558" s="127"/>
      <c r="U558" s="128"/>
      <c r="V558" s="121"/>
      <c r="W558" s="129"/>
      <c r="X558" s="129"/>
      <c r="Y558" s="121"/>
      <c r="Z558" s="121"/>
      <c r="AA558" s="121"/>
      <c r="AB558" s="121"/>
      <c r="AC558" s="121"/>
      <c r="AD558" s="121"/>
      <c r="AE558" s="121"/>
      <c r="AF558" s="121"/>
      <c r="AG558" s="121"/>
      <c r="AH558" s="121"/>
      <c r="AI558" s="121"/>
    </row>
    <row r="559">
      <c r="A559" s="130"/>
      <c r="B559" s="131"/>
      <c r="C559" s="130"/>
      <c r="D559" s="132"/>
      <c r="E559" s="130"/>
      <c r="F559" s="130"/>
      <c r="G559" s="133"/>
      <c r="H559" s="134"/>
      <c r="I559" s="130"/>
      <c r="J559" s="130"/>
      <c r="K559" s="130"/>
      <c r="L559" s="130"/>
      <c r="M559" s="130"/>
      <c r="N559" s="130"/>
      <c r="O559" s="130"/>
      <c r="P559" s="130"/>
      <c r="Q559" s="130"/>
      <c r="R559" s="135"/>
      <c r="S559" s="135"/>
      <c r="T559" s="136"/>
      <c r="U559" s="137"/>
      <c r="V559" s="130"/>
      <c r="W559" s="138"/>
      <c r="X559" s="138"/>
      <c r="Y559" s="130"/>
      <c r="Z559" s="130"/>
      <c r="AA559" s="130"/>
      <c r="AB559" s="130"/>
      <c r="AC559" s="130"/>
      <c r="AD559" s="130"/>
      <c r="AE559" s="130"/>
      <c r="AF559" s="130"/>
      <c r="AG559" s="130"/>
      <c r="AH559" s="130"/>
      <c r="AI559" s="130"/>
    </row>
    <row r="560">
      <c r="A560" s="121"/>
      <c r="B560" s="122"/>
      <c r="C560" s="121"/>
      <c r="D560" s="123"/>
      <c r="E560" s="121"/>
      <c r="F560" s="121"/>
      <c r="G560" s="124"/>
      <c r="H560" s="125"/>
      <c r="I560" s="121"/>
      <c r="J560" s="121"/>
      <c r="K560" s="121"/>
      <c r="L560" s="121"/>
      <c r="M560" s="121"/>
      <c r="N560" s="121"/>
      <c r="O560" s="121"/>
      <c r="P560" s="121"/>
      <c r="Q560" s="121"/>
      <c r="R560" s="126"/>
      <c r="S560" s="126"/>
      <c r="T560" s="127"/>
      <c r="U560" s="128"/>
      <c r="V560" s="121"/>
      <c r="W560" s="129"/>
      <c r="X560" s="129"/>
      <c r="Y560" s="121"/>
      <c r="Z560" s="121"/>
      <c r="AA560" s="121"/>
      <c r="AB560" s="121"/>
      <c r="AC560" s="121"/>
      <c r="AD560" s="121"/>
      <c r="AE560" s="121"/>
      <c r="AF560" s="121"/>
      <c r="AG560" s="121"/>
      <c r="AH560" s="121"/>
      <c r="AI560" s="121"/>
    </row>
    <row r="561">
      <c r="A561" s="130"/>
      <c r="B561" s="131"/>
      <c r="C561" s="130"/>
      <c r="D561" s="132"/>
      <c r="E561" s="130"/>
      <c r="F561" s="130"/>
      <c r="G561" s="133"/>
      <c r="H561" s="134"/>
      <c r="I561" s="130"/>
      <c r="J561" s="130"/>
      <c r="K561" s="130"/>
      <c r="L561" s="130"/>
      <c r="M561" s="130"/>
      <c r="N561" s="130"/>
      <c r="O561" s="130"/>
      <c r="P561" s="130"/>
      <c r="Q561" s="130"/>
      <c r="R561" s="135"/>
      <c r="S561" s="135"/>
      <c r="T561" s="136"/>
      <c r="U561" s="137"/>
      <c r="V561" s="130"/>
      <c r="W561" s="138"/>
      <c r="X561" s="138"/>
      <c r="Y561" s="130"/>
      <c r="Z561" s="130"/>
      <c r="AA561" s="130"/>
      <c r="AB561" s="130"/>
      <c r="AC561" s="130"/>
      <c r="AD561" s="130"/>
      <c r="AE561" s="130"/>
      <c r="AF561" s="130"/>
      <c r="AG561" s="130"/>
      <c r="AH561" s="130"/>
      <c r="AI561" s="130"/>
    </row>
    <row r="562">
      <c r="A562" s="121"/>
      <c r="B562" s="122"/>
      <c r="C562" s="121"/>
      <c r="D562" s="123"/>
      <c r="E562" s="121"/>
      <c r="F562" s="121"/>
      <c r="G562" s="124"/>
      <c r="H562" s="125"/>
      <c r="I562" s="121"/>
      <c r="J562" s="121"/>
      <c r="K562" s="121"/>
      <c r="L562" s="121"/>
      <c r="M562" s="121"/>
      <c r="N562" s="121"/>
      <c r="O562" s="121"/>
      <c r="P562" s="121"/>
      <c r="Q562" s="121"/>
      <c r="R562" s="126"/>
      <c r="S562" s="126"/>
      <c r="T562" s="127"/>
      <c r="U562" s="128"/>
      <c r="V562" s="121"/>
      <c r="W562" s="129"/>
      <c r="X562" s="129"/>
      <c r="Y562" s="121"/>
      <c r="Z562" s="121"/>
      <c r="AA562" s="121"/>
      <c r="AB562" s="121"/>
      <c r="AC562" s="121"/>
      <c r="AD562" s="121"/>
      <c r="AE562" s="121"/>
      <c r="AF562" s="121"/>
      <c r="AG562" s="121"/>
      <c r="AH562" s="121"/>
      <c r="AI562" s="121"/>
    </row>
    <row r="563">
      <c r="A563" s="130"/>
      <c r="B563" s="131"/>
      <c r="C563" s="130"/>
      <c r="D563" s="132"/>
      <c r="E563" s="130"/>
      <c r="F563" s="130"/>
      <c r="G563" s="133"/>
      <c r="H563" s="134"/>
      <c r="I563" s="130"/>
      <c r="J563" s="130"/>
      <c r="K563" s="130"/>
      <c r="L563" s="130"/>
      <c r="M563" s="130"/>
      <c r="N563" s="130"/>
      <c r="O563" s="130"/>
      <c r="P563" s="130"/>
      <c r="Q563" s="130"/>
      <c r="R563" s="135"/>
      <c r="S563" s="135"/>
      <c r="T563" s="136"/>
      <c r="U563" s="137"/>
      <c r="V563" s="130"/>
      <c r="W563" s="138"/>
      <c r="X563" s="138"/>
      <c r="Y563" s="130"/>
      <c r="Z563" s="130"/>
      <c r="AA563" s="130"/>
      <c r="AB563" s="130"/>
      <c r="AC563" s="130"/>
      <c r="AD563" s="130"/>
      <c r="AE563" s="130"/>
      <c r="AF563" s="130"/>
      <c r="AG563" s="130"/>
      <c r="AH563" s="130"/>
      <c r="AI563" s="130"/>
    </row>
    <row r="564">
      <c r="A564" s="121"/>
      <c r="B564" s="122"/>
      <c r="C564" s="121"/>
      <c r="D564" s="123"/>
      <c r="E564" s="121"/>
      <c r="F564" s="121"/>
      <c r="G564" s="124"/>
      <c r="H564" s="125"/>
      <c r="I564" s="121"/>
      <c r="J564" s="121"/>
      <c r="K564" s="121"/>
      <c r="L564" s="121"/>
      <c r="M564" s="121"/>
      <c r="N564" s="121"/>
      <c r="O564" s="121"/>
      <c r="P564" s="121"/>
      <c r="Q564" s="121"/>
      <c r="R564" s="126"/>
      <c r="S564" s="126"/>
      <c r="T564" s="127"/>
      <c r="U564" s="128"/>
      <c r="V564" s="121"/>
      <c r="W564" s="129"/>
      <c r="X564" s="129"/>
      <c r="Y564" s="121"/>
      <c r="Z564" s="121"/>
      <c r="AA564" s="121"/>
      <c r="AB564" s="121"/>
      <c r="AC564" s="121"/>
      <c r="AD564" s="121"/>
      <c r="AE564" s="121"/>
      <c r="AF564" s="121"/>
      <c r="AG564" s="121"/>
      <c r="AH564" s="121"/>
      <c r="AI564" s="121"/>
    </row>
    <row r="565">
      <c r="A565" s="130"/>
      <c r="B565" s="131"/>
      <c r="C565" s="130"/>
      <c r="D565" s="132"/>
      <c r="E565" s="130"/>
      <c r="F565" s="130"/>
      <c r="G565" s="133"/>
      <c r="H565" s="134"/>
      <c r="I565" s="130"/>
      <c r="J565" s="130"/>
      <c r="K565" s="130"/>
      <c r="L565" s="130"/>
      <c r="M565" s="130"/>
      <c r="N565" s="130"/>
      <c r="O565" s="130"/>
      <c r="P565" s="130"/>
      <c r="Q565" s="130"/>
      <c r="R565" s="135"/>
      <c r="S565" s="135"/>
      <c r="T565" s="136"/>
      <c r="U565" s="137"/>
      <c r="V565" s="130"/>
      <c r="W565" s="138"/>
      <c r="X565" s="138"/>
      <c r="Y565" s="130"/>
      <c r="Z565" s="130"/>
      <c r="AA565" s="130"/>
      <c r="AB565" s="130"/>
      <c r="AC565" s="130"/>
      <c r="AD565" s="130"/>
      <c r="AE565" s="130"/>
      <c r="AF565" s="130"/>
      <c r="AG565" s="130"/>
      <c r="AH565" s="130"/>
      <c r="AI565" s="130"/>
    </row>
    <row r="566">
      <c r="A566" s="121"/>
      <c r="B566" s="122"/>
      <c r="C566" s="121"/>
      <c r="D566" s="123"/>
      <c r="E566" s="121"/>
      <c r="F566" s="121"/>
      <c r="G566" s="124"/>
      <c r="H566" s="125"/>
      <c r="I566" s="121"/>
      <c r="J566" s="121"/>
      <c r="K566" s="121"/>
      <c r="L566" s="121"/>
      <c r="M566" s="121"/>
      <c r="N566" s="121"/>
      <c r="O566" s="121"/>
      <c r="P566" s="121"/>
      <c r="Q566" s="121"/>
      <c r="R566" s="126"/>
      <c r="S566" s="126"/>
      <c r="T566" s="127"/>
      <c r="U566" s="128"/>
      <c r="V566" s="121"/>
      <c r="W566" s="129"/>
      <c r="X566" s="129"/>
      <c r="Y566" s="121"/>
      <c r="Z566" s="121"/>
      <c r="AA566" s="121"/>
      <c r="AB566" s="121"/>
      <c r="AC566" s="121"/>
      <c r="AD566" s="121"/>
      <c r="AE566" s="121"/>
      <c r="AF566" s="121"/>
      <c r="AG566" s="121"/>
      <c r="AH566" s="121"/>
      <c r="AI566" s="121"/>
    </row>
    <row r="567">
      <c r="A567" s="130"/>
      <c r="B567" s="131"/>
      <c r="C567" s="130"/>
      <c r="D567" s="132"/>
      <c r="E567" s="130"/>
      <c r="F567" s="130"/>
      <c r="G567" s="133"/>
      <c r="H567" s="134"/>
      <c r="I567" s="130"/>
      <c r="J567" s="130"/>
      <c r="K567" s="130"/>
      <c r="L567" s="130"/>
      <c r="M567" s="130"/>
      <c r="N567" s="130"/>
      <c r="O567" s="130"/>
      <c r="P567" s="130"/>
      <c r="Q567" s="130"/>
      <c r="R567" s="135"/>
      <c r="S567" s="135"/>
      <c r="T567" s="136"/>
      <c r="U567" s="137"/>
      <c r="V567" s="130"/>
      <c r="W567" s="138"/>
      <c r="X567" s="138"/>
      <c r="Y567" s="130"/>
      <c r="Z567" s="130"/>
      <c r="AA567" s="130"/>
      <c r="AB567" s="130"/>
      <c r="AC567" s="130"/>
      <c r="AD567" s="130"/>
      <c r="AE567" s="130"/>
      <c r="AF567" s="130"/>
      <c r="AG567" s="130"/>
      <c r="AH567" s="130"/>
      <c r="AI567" s="130"/>
    </row>
    <row r="568">
      <c r="A568" s="121"/>
      <c r="B568" s="122"/>
      <c r="C568" s="121"/>
      <c r="D568" s="123"/>
      <c r="E568" s="121"/>
      <c r="F568" s="121"/>
      <c r="G568" s="124"/>
      <c r="H568" s="125"/>
      <c r="I568" s="121"/>
      <c r="J568" s="121"/>
      <c r="K568" s="121"/>
      <c r="L568" s="121"/>
      <c r="M568" s="121"/>
      <c r="N568" s="121"/>
      <c r="O568" s="121"/>
      <c r="P568" s="121"/>
      <c r="Q568" s="121"/>
      <c r="R568" s="126"/>
      <c r="S568" s="126"/>
      <c r="T568" s="127"/>
      <c r="U568" s="128"/>
      <c r="V568" s="121"/>
      <c r="W568" s="129"/>
      <c r="X568" s="129"/>
      <c r="Y568" s="121"/>
      <c r="Z568" s="121"/>
      <c r="AA568" s="121"/>
      <c r="AB568" s="121"/>
      <c r="AC568" s="121"/>
      <c r="AD568" s="121"/>
      <c r="AE568" s="121"/>
      <c r="AF568" s="121"/>
      <c r="AG568" s="121"/>
      <c r="AH568" s="121"/>
      <c r="AI568" s="121"/>
    </row>
    <row r="569">
      <c r="A569" s="130"/>
      <c r="B569" s="131"/>
      <c r="C569" s="130"/>
      <c r="D569" s="132"/>
      <c r="E569" s="130"/>
      <c r="F569" s="130"/>
      <c r="G569" s="133"/>
      <c r="H569" s="134"/>
      <c r="I569" s="130"/>
      <c r="J569" s="130"/>
      <c r="K569" s="130"/>
      <c r="L569" s="130"/>
      <c r="M569" s="130"/>
      <c r="N569" s="130"/>
      <c r="O569" s="130"/>
      <c r="P569" s="130"/>
      <c r="Q569" s="130"/>
      <c r="R569" s="135"/>
      <c r="S569" s="135"/>
      <c r="T569" s="136"/>
      <c r="U569" s="137"/>
      <c r="V569" s="130"/>
      <c r="W569" s="138"/>
      <c r="X569" s="138"/>
      <c r="Y569" s="130"/>
      <c r="Z569" s="130"/>
      <c r="AA569" s="130"/>
      <c r="AB569" s="130"/>
      <c r="AC569" s="130"/>
      <c r="AD569" s="130"/>
      <c r="AE569" s="130"/>
      <c r="AF569" s="130"/>
      <c r="AG569" s="130"/>
      <c r="AH569" s="130"/>
      <c r="AI569" s="130"/>
    </row>
    <row r="570">
      <c r="A570" s="121"/>
      <c r="B570" s="122"/>
      <c r="C570" s="121"/>
      <c r="D570" s="123"/>
      <c r="E570" s="121"/>
      <c r="F570" s="121"/>
      <c r="G570" s="124"/>
      <c r="H570" s="125"/>
      <c r="I570" s="121"/>
      <c r="J570" s="121"/>
      <c r="K570" s="121"/>
      <c r="L570" s="121"/>
      <c r="M570" s="121"/>
      <c r="N570" s="121"/>
      <c r="O570" s="121"/>
      <c r="P570" s="121"/>
      <c r="Q570" s="121"/>
      <c r="R570" s="126"/>
      <c r="S570" s="126"/>
      <c r="T570" s="127"/>
      <c r="U570" s="128"/>
      <c r="V570" s="121"/>
      <c r="W570" s="129"/>
      <c r="X570" s="129"/>
      <c r="Y570" s="121"/>
      <c r="Z570" s="121"/>
      <c r="AA570" s="121"/>
      <c r="AB570" s="121"/>
      <c r="AC570" s="121"/>
      <c r="AD570" s="121"/>
      <c r="AE570" s="121"/>
      <c r="AF570" s="121"/>
      <c r="AG570" s="121"/>
      <c r="AH570" s="121"/>
      <c r="AI570" s="121"/>
    </row>
    <row r="571">
      <c r="A571" s="130"/>
      <c r="B571" s="131"/>
      <c r="C571" s="130"/>
      <c r="D571" s="132"/>
      <c r="E571" s="130"/>
      <c r="F571" s="130"/>
      <c r="G571" s="133"/>
      <c r="H571" s="134"/>
      <c r="I571" s="130"/>
      <c r="J571" s="130"/>
      <c r="K571" s="130"/>
      <c r="L571" s="130"/>
      <c r="M571" s="130"/>
      <c r="N571" s="130"/>
      <c r="O571" s="130"/>
      <c r="P571" s="130"/>
      <c r="Q571" s="130"/>
      <c r="R571" s="135"/>
      <c r="S571" s="135"/>
      <c r="T571" s="136"/>
      <c r="U571" s="137"/>
      <c r="V571" s="130"/>
      <c r="W571" s="138"/>
      <c r="X571" s="138"/>
      <c r="Y571" s="130"/>
      <c r="Z571" s="130"/>
      <c r="AA571" s="130"/>
      <c r="AB571" s="130"/>
      <c r="AC571" s="130"/>
      <c r="AD571" s="130"/>
      <c r="AE571" s="130"/>
      <c r="AF571" s="130"/>
      <c r="AG571" s="130"/>
      <c r="AH571" s="130"/>
      <c r="AI571" s="130"/>
    </row>
    <row r="572">
      <c r="A572" s="121"/>
      <c r="B572" s="122"/>
      <c r="C572" s="121"/>
      <c r="D572" s="123"/>
      <c r="E572" s="121"/>
      <c r="F572" s="121"/>
      <c r="G572" s="124"/>
      <c r="H572" s="125"/>
      <c r="I572" s="121"/>
      <c r="J572" s="121"/>
      <c r="K572" s="121"/>
      <c r="L572" s="121"/>
      <c r="M572" s="121"/>
      <c r="N572" s="121"/>
      <c r="O572" s="121"/>
      <c r="P572" s="121"/>
      <c r="Q572" s="121"/>
      <c r="R572" s="126"/>
      <c r="S572" s="126"/>
      <c r="T572" s="127"/>
      <c r="U572" s="128"/>
      <c r="V572" s="121"/>
      <c r="W572" s="129"/>
      <c r="X572" s="129"/>
      <c r="Y572" s="121"/>
      <c r="Z572" s="121"/>
      <c r="AA572" s="121"/>
      <c r="AB572" s="121"/>
      <c r="AC572" s="121"/>
      <c r="AD572" s="121"/>
      <c r="AE572" s="121"/>
      <c r="AF572" s="121"/>
      <c r="AG572" s="121"/>
      <c r="AH572" s="121"/>
      <c r="AI572" s="121"/>
    </row>
    <row r="573">
      <c r="A573" s="130"/>
      <c r="B573" s="131"/>
      <c r="C573" s="130"/>
      <c r="D573" s="132"/>
      <c r="E573" s="130"/>
      <c r="F573" s="130"/>
      <c r="G573" s="133"/>
      <c r="H573" s="134"/>
      <c r="I573" s="130"/>
      <c r="J573" s="130"/>
      <c r="K573" s="130"/>
      <c r="L573" s="130"/>
      <c r="M573" s="130"/>
      <c r="N573" s="130"/>
      <c r="O573" s="130"/>
      <c r="P573" s="130"/>
      <c r="Q573" s="130"/>
      <c r="R573" s="135"/>
      <c r="S573" s="135"/>
      <c r="T573" s="136"/>
      <c r="U573" s="137"/>
      <c r="V573" s="130"/>
      <c r="W573" s="138"/>
      <c r="X573" s="138"/>
      <c r="Y573" s="130"/>
      <c r="Z573" s="130"/>
      <c r="AA573" s="130"/>
      <c r="AB573" s="130"/>
      <c r="AC573" s="130"/>
      <c r="AD573" s="130"/>
      <c r="AE573" s="130"/>
      <c r="AF573" s="130"/>
      <c r="AG573" s="130"/>
      <c r="AH573" s="130"/>
      <c r="AI573" s="130"/>
    </row>
    <row r="574">
      <c r="A574" s="121"/>
      <c r="B574" s="122"/>
      <c r="C574" s="121"/>
      <c r="D574" s="123"/>
      <c r="E574" s="121"/>
      <c r="F574" s="121"/>
      <c r="G574" s="124"/>
      <c r="H574" s="125"/>
      <c r="I574" s="121"/>
      <c r="J574" s="121"/>
      <c r="K574" s="121"/>
      <c r="L574" s="121"/>
      <c r="M574" s="121"/>
      <c r="N574" s="121"/>
      <c r="O574" s="121"/>
      <c r="P574" s="121"/>
      <c r="Q574" s="121"/>
      <c r="R574" s="126"/>
      <c r="S574" s="126"/>
      <c r="T574" s="127"/>
      <c r="U574" s="128"/>
      <c r="V574" s="121"/>
      <c r="W574" s="129"/>
      <c r="X574" s="129"/>
      <c r="Y574" s="121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</row>
    <row r="575">
      <c r="A575" s="130"/>
      <c r="B575" s="131"/>
      <c r="C575" s="130"/>
      <c r="D575" s="132"/>
      <c r="E575" s="130"/>
      <c r="F575" s="130"/>
      <c r="G575" s="133"/>
      <c r="H575" s="134"/>
      <c r="I575" s="130"/>
      <c r="J575" s="130"/>
      <c r="K575" s="130"/>
      <c r="L575" s="130"/>
      <c r="M575" s="130"/>
      <c r="N575" s="130"/>
      <c r="O575" s="130"/>
      <c r="P575" s="130"/>
      <c r="Q575" s="130"/>
      <c r="R575" s="135"/>
      <c r="S575" s="135"/>
      <c r="T575" s="136"/>
      <c r="U575" s="137"/>
      <c r="V575" s="130"/>
      <c r="W575" s="138"/>
      <c r="X575" s="138"/>
      <c r="Y575" s="130"/>
      <c r="Z575" s="130"/>
      <c r="AA575" s="130"/>
      <c r="AB575" s="130"/>
      <c r="AC575" s="130"/>
      <c r="AD575" s="130"/>
      <c r="AE575" s="130"/>
      <c r="AF575" s="130"/>
      <c r="AG575" s="130"/>
      <c r="AH575" s="130"/>
      <c r="AI575" s="130"/>
    </row>
    <row r="576">
      <c r="A576" s="121"/>
      <c r="B576" s="122"/>
      <c r="C576" s="121"/>
      <c r="D576" s="123"/>
      <c r="E576" s="121"/>
      <c r="F576" s="121"/>
      <c r="G576" s="124"/>
      <c r="H576" s="125"/>
      <c r="I576" s="121"/>
      <c r="J576" s="121"/>
      <c r="K576" s="121"/>
      <c r="L576" s="121"/>
      <c r="M576" s="121"/>
      <c r="N576" s="121"/>
      <c r="O576" s="121"/>
      <c r="P576" s="121"/>
      <c r="Q576" s="121"/>
      <c r="R576" s="126"/>
      <c r="S576" s="126"/>
      <c r="T576" s="127"/>
      <c r="U576" s="128"/>
      <c r="V576" s="121"/>
      <c r="W576" s="129"/>
      <c r="X576" s="129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</row>
    <row r="577">
      <c r="A577" s="130"/>
      <c r="B577" s="131"/>
      <c r="C577" s="130"/>
      <c r="D577" s="132"/>
      <c r="E577" s="130"/>
      <c r="F577" s="130"/>
      <c r="G577" s="133"/>
      <c r="H577" s="134"/>
      <c r="I577" s="130"/>
      <c r="J577" s="130"/>
      <c r="K577" s="130"/>
      <c r="L577" s="130"/>
      <c r="M577" s="130"/>
      <c r="N577" s="130"/>
      <c r="O577" s="130"/>
      <c r="P577" s="130"/>
      <c r="Q577" s="130"/>
      <c r="R577" s="135"/>
      <c r="S577" s="135"/>
      <c r="T577" s="136"/>
      <c r="U577" s="137"/>
      <c r="V577" s="130"/>
      <c r="W577" s="138"/>
      <c r="X577" s="138"/>
      <c r="Y577" s="130"/>
      <c r="Z577" s="130"/>
      <c r="AA577" s="130"/>
      <c r="AB577" s="130"/>
      <c r="AC577" s="130"/>
      <c r="AD577" s="130"/>
      <c r="AE577" s="130"/>
      <c r="AF577" s="130"/>
      <c r="AG577" s="130"/>
      <c r="AH577" s="130"/>
      <c r="AI577" s="130"/>
    </row>
    <row r="578">
      <c r="A578" s="121"/>
      <c r="B578" s="122"/>
      <c r="C578" s="121"/>
      <c r="D578" s="123"/>
      <c r="E578" s="121"/>
      <c r="F578" s="121"/>
      <c r="G578" s="124"/>
      <c r="H578" s="125"/>
      <c r="I578" s="121"/>
      <c r="J578" s="121"/>
      <c r="K578" s="121"/>
      <c r="L578" s="121"/>
      <c r="M578" s="121"/>
      <c r="N578" s="121"/>
      <c r="O578" s="121"/>
      <c r="P578" s="121"/>
      <c r="Q578" s="121"/>
      <c r="R578" s="126"/>
      <c r="S578" s="126"/>
      <c r="T578" s="127"/>
      <c r="U578" s="128"/>
      <c r="V578" s="121"/>
      <c r="W578" s="129"/>
      <c r="X578" s="129"/>
      <c r="Y578" s="121"/>
      <c r="Z578" s="121"/>
      <c r="AA578" s="121"/>
      <c r="AB578" s="121"/>
      <c r="AC578" s="121"/>
      <c r="AD578" s="121"/>
      <c r="AE578" s="121"/>
      <c r="AF578" s="121"/>
      <c r="AG578" s="121"/>
      <c r="AH578" s="121"/>
      <c r="AI578" s="121"/>
    </row>
    <row r="579">
      <c r="A579" s="130"/>
      <c r="B579" s="131"/>
      <c r="C579" s="130"/>
      <c r="D579" s="132"/>
      <c r="E579" s="130"/>
      <c r="F579" s="130"/>
      <c r="G579" s="133"/>
      <c r="H579" s="134"/>
      <c r="I579" s="130"/>
      <c r="J579" s="130"/>
      <c r="K579" s="130"/>
      <c r="L579" s="130"/>
      <c r="M579" s="130"/>
      <c r="N579" s="130"/>
      <c r="O579" s="130"/>
      <c r="P579" s="130"/>
      <c r="Q579" s="130"/>
      <c r="R579" s="135"/>
      <c r="S579" s="135"/>
      <c r="T579" s="136"/>
      <c r="U579" s="137"/>
      <c r="V579" s="130"/>
      <c r="W579" s="138"/>
      <c r="X579" s="138"/>
      <c r="Y579" s="130"/>
      <c r="Z579" s="130"/>
      <c r="AA579" s="130"/>
      <c r="AB579" s="130"/>
      <c r="AC579" s="130"/>
      <c r="AD579" s="130"/>
      <c r="AE579" s="130"/>
      <c r="AF579" s="130"/>
      <c r="AG579" s="130"/>
      <c r="AH579" s="130"/>
      <c r="AI579" s="130"/>
    </row>
    <row r="580">
      <c r="A580" s="121"/>
      <c r="B580" s="122"/>
      <c r="C580" s="121"/>
      <c r="D580" s="123"/>
      <c r="E580" s="121"/>
      <c r="F580" s="121"/>
      <c r="G580" s="124"/>
      <c r="H580" s="125"/>
      <c r="I580" s="121"/>
      <c r="J580" s="121"/>
      <c r="K580" s="121"/>
      <c r="L580" s="121"/>
      <c r="M580" s="121"/>
      <c r="N580" s="121"/>
      <c r="O580" s="121"/>
      <c r="P580" s="121"/>
      <c r="Q580" s="121"/>
      <c r="R580" s="126"/>
      <c r="S580" s="126"/>
      <c r="T580" s="127"/>
      <c r="U580" s="128"/>
      <c r="V580" s="121"/>
      <c r="W580" s="129"/>
      <c r="X580" s="129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</row>
    <row r="581">
      <c r="A581" s="130"/>
      <c r="B581" s="131"/>
      <c r="C581" s="130"/>
      <c r="D581" s="132"/>
      <c r="E581" s="130"/>
      <c r="F581" s="130"/>
      <c r="G581" s="133"/>
      <c r="H581" s="134"/>
      <c r="I581" s="130"/>
      <c r="J581" s="130"/>
      <c r="K581" s="130"/>
      <c r="L581" s="130"/>
      <c r="M581" s="130"/>
      <c r="N581" s="130"/>
      <c r="O581" s="130"/>
      <c r="P581" s="130"/>
      <c r="Q581" s="130"/>
      <c r="R581" s="135"/>
      <c r="S581" s="135"/>
      <c r="T581" s="136"/>
      <c r="U581" s="137"/>
      <c r="V581" s="130"/>
      <c r="W581" s="138"/>
      <c r="X581" s="138"/>
      <c r="Y581" s="130"/>
      <c r="Z581" s="130"/>
      <c r="AA581" s="130"/>
      <c r="AB581" s="130"/>
      <c r="AC581" s="130"/>
      <c r="AD581" s="130"/>
      <c r="AE581" s="130"/>
      <c r="AF581" s="130"/>
      <c r="AG581" s="130"/>
      <c r="AH581" s="130"/>
      <c r="AI581" s="130"/>
    </row>
    <row r="582">
      <c r="A582" s="121"/>
      <c r="B582" s="122"/>
      <c r="C582" s="121"/>
      <c r="D582" s="123"/>
      <c r="E582" s="121"/>
      <c r="F582" s="121"/>
      <c r="G582" s="124"/>
      <c r="H582" s="125"/>
      <c r="I582" s="121"/>
      <c r="J582" s="121"/>
      <c r="K582" s="121"/>
      <c r="L582" s="121"/>
      <c r="M582" s="121"/>
      <c r="N582" s="121"/>
      <c r="O582" s="121"/>
      <c r="P582" s="121"/>
      <c r="Q582" s="121"/>
      <c r="R582" s="126"/>
      <c r="S582" s="126"/>
      <c r="T582" s="127"/>
      <c r="U582" s="128"/>
      <c r="V582" s="121"/>
      <c r="W582" s="129"/>
      <c r="X582" s="129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</row>
    <row r="583">
      <c r="A583" s="130"/>
      <c r="B583" s="131"/>
      <c r="C583" s="130"/>
      <c r="D583" s="132"/>
      <c r="E583" s="130"/>
      <c r="F583" s="130"/>
      <c r="G583" s="133"/>
      <c r="H583" s="134"/>
      <c r="I583" s="130"/>
      <c r="J583" s="130"/>
      <c r="K583" s="130"/>
      <c r="L583" s="130"/>
      <c r="M583" s="130"/>
      <c r="N583" s="130"/>
      <c r="O583" s="130"/>
      <c r="P583" s="130"/>
      <c r="Q583" s="130"/>
      <c r="R583" s="135"/>
      <c r="S583" s="135"/>
      <c r="T583" s="136"/>
      <c r="U583" s="137"/>
      <c r="V583" s="130"/>
      <c r="W583" s="138"/>
      <c r="X583" s="138"/>
      <c r="Y583" s="130"/>
      <c r="Z583" s="130"/>
      <c r="AA583" s="130"/>
      <c r="AB583" s="130"/>
      <c r="AC583" s="130"/>
      <c r="AD583" s="130"/>
      <c r="AE583" s="130"/>
      <c r="AF583" s="130"/>
      <c r="AG583" s="130"/>
      <c r="AH583" s="130"/>
      <c r="AI583" s="130"/>
    </row>
    <row r="584">
      <c r="A584" s="121"/>
      <c r="B584" s="122"/>
      <c r="C584" s="121"/>
      <c r="D584" s="123"/>
      <c r="E584" s="121"/>
      <c r="F584" s="121"/>
      <c r="G584" s="124"/>
      <c r="H584" s="125"/>
      <c r="I584" s="121"/>
      <c r="J584" s="121"/>
      <c r="K584" s="121"/>
      <c r="L584" s="121"/>
      <c r="M584" s="121"/>
      <c r="N584" s="121"/>
      <c r="O584" s="121"/>
      <c r="P584" s="121"/>
      <c r="Q584" s="121"/>
      <c r="R584" s="126"/>
      <c r="S584" s="126"/>
      <c r="T584" s="127"/>
      <c r="U584" s="128"/>
      <c r="V584" s="121"/>
      <c r="W584" s="129"/>
      <c r="X584" s="129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</row>
    <row r="585">
      <c r="A585" s="130"/>
      <c r="B585" s="131"/>
      <c r="C585" s="130"/>
      <c r="D585" s="132"/>
      <c r="E585" s="130"/>
      <c r="F585" s="130"/>
      <c r="G585" s="133"/>
      <c r="H585" s="134"/>
      <c r="I585" s="130"/>
      <c r="J585" s="130"/>
      <c r="K585" s="130"/>
      <c r="L585" s="130"/>
      <c r="M585" s="130"/>
      <c r="N585" s="130"/>
      <c r="O585" s="130"/>
      <c r="P585" s="130"/>
      <c r="Q585" s="130"/>
      <c r="R585" s="135"/>
      <c r="S585" s="135"/>
      <c r="T585" s="136"/>
      <c r="U585" s="137"/>
      <c r="V585" s="130"/>
      <c r="W585" s="138"/>
      <c r="X585" s="138"/>
      <c r="Y585" s="130"/>
      <c r="Z585" s="130"/>
      <c r="AA585" s="130"/>
      <c r="AB585" s="130"/>
      <c r="AC585" s="130"/>
      <c r="AD585" s="130"/>
      <c r="AE585" s="130"/>
      <c r="AF585" s="130"/>
      <c r="AG585" s="130"/>
      <c r="AH585" s="130"/>
      <c r="AI585" s="130"/>
    </row>
    <row r="586">
      <c r="A586" s="121"/>
      <c r="B586" s="122"/>
      <c r="C586" s="121"/>
      <c r="D586" s="123"/>
      <c r="E586" s="121"/>
      <c r="F586" s="121"/>
      <c r="G586" s="124"/>
      <c r="H586" s="125"/>
      <c r="I586" s="121"/>
      <c r="J586" s="121"/>
      <c r="K586" s="121"/>
      <c r="L586" s="121"/>
      <c r="M586" s="121"/>
      <c r="N586" s="121"/>
      <c r="O586" s="121"/>
      <c r="P586" s="121"/>
      <c r="Q586" s="121"/>
      <c r="R586" s="126"/>
      <c r="S586" s="126"/>
      <c r="T586" s="127"/>
      <c r="U586" s="128"/>
      <c r="V586" s="121"/>
      <c r="W586" s="129"/>
      <c r="X586" s="129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</row>
    <row r="587">
      <c r="A587" s="130"/>
      <c r="B587" s="131"/>
      <c r="C587" s="130"/>
      <c r="D587" s="132"/>
      <c r="E587" s="130"/>
      <c r="F587" s="130"/>
      <c r="G587" s="133"/>
      <c r="H587" s="134"/>
      <c r="I587" s="130"/>
      <c r="J587" s="130"/>
      <c r="K587" s="130"/>
      <c r="L587" s="130"/>
      <c r="M587" s="130"/>
      <c r="N587" s="130"/>
      <c r="O587" s="130"/>
      <c r="P587" s="130"/>
      <c r="Q587" s="130"/>
      <c r="R587" s="135"/>
      <c r="S587" s="135"/>
      <c r="T587" s="136"/>
      <c r="U587" s="137"/>
      <c r="V587" s="130"/>
      <c r="W587" s="138"/>
      <c r="X587" s="138"/>
      <c r="Y587" s="130"/>
      <c r="Z587" s="130"/>
      <c r="AA587" s="130"/>
      <c r="AB587" s="130"/>
      <c r="AC587" s="130"/>
      <c r="AD587" s="130"/>
      <c r="AE587" s="130"/>
      <c r="AF587" s="130"/>
      <c r="AG587" s="130"/>
      <c r="AH587" s="130"/>
      <c r="AI587" s="130"/>
    </row>
    <row r="588">
      <c r="A588" s="121"/>
      <c r="B588" s="122"/>
      <c r="C588" s="121"/>
      <c r="D588" s="123"/>
      <c r="E588" s="121"/>
      <c r="F588" s="121"/>
      <c r="G588" s="124"/>
      <c r="H588" s="125"/>
      <c r="I588" s="121"/>
      <c r="J588" s="121"/>
      <c r="K588" s="121"/>
      <c r="L588" s="121"/>
      <c r="M588" s="121"/>
      <c r="N588" s="121"/>
      <c r="O588" s="121"/>
      <c r="P588" s="121"/>
      <c r="Q588" s="121"/>
      <c r="R588" s="126"/>
      <c r="S588" s="126"/>
      <c r="T588" s="127"/>
      <c r="U588" s="128"/>
      <c r="V588" s="121"/>
      <c r="W588" s="129"/>
      <c r="X588" s="129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</row>
    <row r="589">
      <c r="A589" s="130"/>
      <c r="B589" s="131"/>
      <c r="C589" s="130"/>
      <c r="D589" s="132"/>
      <c r="E589" s="130"/>
      <c r="F589" s="130"/>
      <c r="G589" s="133"/>
      <c r="H589" s="134"/>
      <c r="I589" s="130"/>
      <c r="J589" s="130"/>
      <c r="K589" s="130"/>
      <c r="L589" s="130"/>
      <c r="M589" s="130"/>
      <c r="N589" s="130"/>
      <c r="O589" s="130"/>
      <c r="P589" s="130"/>
      <c r="Q589" s="130"/>
      <c r="R589" s="135"/>
      <c r="S589" s="135"/>
      <c r="T589" s="136"/>
      <c r="U589" s="137"/>
      <c r="V589" s="130"/>
      <c r="W589" s="138"/>
      <c r="X589" s="138"/>
      <c r="Y589" s="130"/>
      <c r="Z589" s="130"/>
      <c r="AA589" s="130"/>
      <c r="AB589" s="130"/>
      <c r="AC589" s="130"/>
      <c r="AD589" s="130"/>
      <c r="AE589" s="130"/>
      <c r="AF589" s="130"/>
      <c r="AG589" s="130"/>
      <c r="AH589" s="130"/>
      <c r="AI589" s="130"/>
    </row>
    <row r="590">
      <c r="A590" s="121"/>
      <c r="B590" s="122"/>
      <c r="C590" s="121"/>
      <c r="D590" s="123"/>
      <c r="E590" s="121"/>
      <c r="F590" s="121"/>
      <c r="G590" s="124"/>
      <c r="H590" s="125"/>
      <c r="I590" s="121"/>
      <c r="J590" s="121"/>
      <c r="K590" s="121"/>
      <c r="L590" s="121"/>
      <c r="M590" s="121"/>
      <c r="N590" s="121"/>
      <c r="O590" s="121"/>
      <c r="P590" s="121"/>
      <c r="Q590" s="121"/>
      <c r="R590" s="126"/>
      <c r="S590" s="126"/>
      <c r="T590" s="127"/>
      <c r="U590" s="128"/>
      <c r="V590" s="121"/>
      <c r="W590" s="129"/>
      <c r="X590" s="129"/>
      <c r="Y590" s="121"/>
      <c r="Z590" s="121"/>
      <c r="AA590" s="121"/>
      <c r="AB590" s="121"/>
      <c r="AC590" s="121"/>
      <c r="AD590" s="121"/>
      <c r="AE590" s="121"/>
      <c r="AF590" s="121"/>
      <c r="AG590" s="121"/>
      <c r="AH590" s="121"/>
      <c r="AI590" s="121"/>
    </row>
    <row r="591">
      <c r="A591" s="130"/>
      <c r="B591" s="131"/>
      <c r="C591" s="130"/>
      <c r="D591" s="132"/>
      <c r="E591" s="130"/>
      <c r="F591" s="130"/>
      <c r="G591" s="133"/>
      <c r="H591" s="134"/>
      <c r="I591" s="130"/>
      <c r="J591" s="130"/>
      <c r="K591" s="130"/>
      <c r="L591" s="130"/>
      <c r="M591" s="130"/>
      <c r="N591" s="130"/>
      <c r="O591" s="130"/>
      <c r="P591" s="130"/>
      <c r="Q591" s="130"/>
      <c r="R591" s="135"/>
      <c r="S591" s="135"/>
      <c r="T591" s="136"/>
      <c r="U591" s="137"/>
      <c r="V591" s="130"/>
      <c r="W591" s="138"/>
      <c r="X591" s="138"/>
      <c r="Y591" s="130"/>
      <c r="Z591" s="130"/>
      <c r="AA591" s="130"/>
      <c r="AB591" s="130"/>
      <c r="AC591" s="130"/>
      <c r="AD591" s="130"/>
      <c r="AE591" s="130"/>
      <c r="AF591" s="130"/>
      <c r="AG591" s="130"/>
      <c r="AH591" s="130"/>
      <c r="AI591" s="130"/>
    </row>
    <row r="592">
      <c r="A592" s="121"/>
      <c r="B592" s="122"/>
      <c r="C592" s="121"/>
      <c r="D592" s="123"/>
      <c r="E592" s="121"/>
      <c r="F592" s="121"/>
      <c r="G592" s="124"/>
      <c r="H592" s="125"/>
      <c r="I592" s="121"/>
      <c r="J592" s="121"/>
      <c r="K592" s="121"/>
      <c r="L592" s="121"/>
      <c r="M592" s="121"/>
      <c r="N592" s="121"/>
      <c r="O592" s="121"/>
      <c r="P592" s="121"/>
      <c r="Q592" s="121"/>
      <c r="R592" s="126"/>
      <c r="S592" s="126"/>
      <c r="T592" s="127"/>
      <c r="U592" s="128"/>
      <c r="V592" s="121"/>
      <c r="W592" s="129"/>
      <c r="X592" s="129"/>
      <c r="Y592" s="121"/>
      <c r="Z592" s="121"/>
      <c r="AA592" s="121"/>
      <c r="AB592" s="121"/>
      <c r="AC592" s="121"/>
      <c r="AD592" s="121"/>
      <c r="AE592" s="121"/>
      <c r="AF592" s="121"/>
      <c r="AG592" s="121"/>
      <c r="AH592" s="121"/>
      <c r="AI592" s="121"/>
    </row>
    <row r="593">
      <c r="A593" s="130"/>
      <c r="B593" s="131"/>
      <c r="C593" s="130"/>
      <c r="D593" s="132"/>
      <c r="E593" s="130"/>
      <c r="F593" s="130"/>
      <c r="G593" s="133"/>
      <c r="H593" s="134"/>
      <c r="I593" s="130"/>
      <c r="J593" s="130"/>
      <c r="K593" s="130"/>
      <c r="L593" s="130"/>
      <c r="M593" s="130"/>
      <c r="N593" s="130"/>
      <c r="O593" s="130"/>
      <c r="P593" s="130"/>
      <c r="Q593" s="130"/>
      <c r="R593" s="135"/>
      <c r="S593" s="135"/>
      <c r="T593" s="136"/>
      <c r="U593" s="137"/>
      <c r="V593" s="130"/>
      <c r="W593" s="138"/>
      <c r="X593" s="138"/>
      <c r="Y593" s="130"/>
      <c r="Z593" s="130"/>
      <c r="AA593" s="130"/>
      <c r="AB593" s="130"/>
      <c r="AC593" s="130"/>
      <c r="AD593" s="130"/>
      <c r="AE593" s="130"/>
      <c r="AF593" s="130"/>
      <c r="AG593" s="130"/>
      <c r="AH593" s="130"/>
      <c r="AI593" s="130"/>
    </row>
    <row r="594">
      <c r="A594" s="121"/>
      <c r="B594" s="122"/>
      <c r="C594" s="121"/>
      <c r="D594" s="123"/>
      <c r="E594" s="121"/>
      <c r="F594" s="121"/>
      <c r="G594" s="124"/>
      <c r="H594" s="125"/>
      <c r="I594" s="121"/>
      <c r="J594" s="121"/>
      <c r="K594" s="121"/>
      <c r="L594" s="121"/>
      <c r="M594" s="121"/>
      <c r="N594" s="121"/>
      <c r="O594" s="121"/>
      <c r="P594" s="121"/>
      <c r="Q594" s="121"/>
      <c r="R594" s="126"/>
      <c r="S594" s="126"/>
      <c r="T594" s="127"/>
      <c r="U594" s="128"/>
      <c r="V594" s="121"/>
      <c r="W594" s="129"/>
      <c r="X594" s="129"/>
      <c r="Y594" s="121"/>
      <c r="Z594" s="121"/>
      <c r="AA594" s="121"/>
      <c r="AB594" s="121"/>
      <c r="AC594" s="121"/>
      <c r="AD594" s="121"/>
      <c r="AE594" s="121"/>
      <c r="AF594" s="121"/>
      <c r="AG594" s="121"/>
      <c r="AH594" s="121"/>
      <c r="AI594" s="121"/>
    </row>
    <row r="595">
      <c r="A595" s="130"/>
      <c r="B595" s="131"/>
      <c r="C595" s="130"/>
      <c r="D595" s="132"/>
      <c r="E595" s="130"/>
      <c r="F595" s="130"/>
      <c r="G595" s="133"/>
      <c r="H595" s="134"/>
      <c r="I595" s="130"/>
      <c r="J595" s="130"/>
      <c r="K595" s="130"/>
      <c r="L595" s="130"/>
      <c r="M595" s="130"/>
      <c r="N595" s="130"/>
      <c r="O595" s="130"/>
      <c r="P595" s="130"/>
      <c r="Q595" s="130"/>
      <c r="R595" s="135"/>
      <c r="S595" s="135"/>
      <c r="T595" s="136"/>
      <c r="U595" s="137"/>
      <c r="V595" s="130"/>
      <c r="W595" s="138"/>
      <c r="X595" s="138"/>
      <c r="Y595" s="130"/>
      <c r="Z595" s="130"/>
      <c r="AA595" s="130"/>
      <c r="AB595" s="130"/>
      <c r="AC595" s="130"/>
      <c r="AD595" s="130"/>
      <c r="AE595" s="130"/>
      <c r="AF595" s="130"/>
      <c r="AG595" s="130"/>
      <c r="AH595" s="130"/>
      <c r="AI595" s="130"/>
    </row>
    <row r="596">
      <c r="B596" s="139"/>
      <c r="D596" s="5"/>
      <c r="E596" s="140"/>
      <c r="H596" s="141"/>
      <c r="R596" s="142"/>
      <c r="S596" s="142"/>
      <c r="U596" s="5"/>
      <c r="W596" s="143"/>
      <c r="X596" s="143"/>
    </row>
    <row r="597">
      <c r="B597" s="139"/>
      <c r="D597" s="5"/>
      <c r="E597" s="140"/>
      <c r="H597" s="141"/>
      <c r="R597" s="142"/>
      <c r="S597" s="142"/>
      <c r="U597" s="5"/>
      <c r="W597" s="143"/>
      <c r="X597" s="143"/>
    </row>
    <row r="598">
      <c r="B598" s="139"/>
      <c r="D598" s="5"/>
      <c r="E598" s="140"/>
      <c r="H598" s="141"/>
      <c r="R598" s="142"/>
      <c r="S598" s="142"/>
      <c r="U598" s="5"/>
      <c r="W598" s="143"/>
      <c r="X598" s="143"/>
    </row>
    <row r="599">
      <c r="B599" s="139"/>
      <c r="D599" s="5"/>
      <c r="E599" s="140"/>
      <c r="H599" s="141"/>
      <c r="R599" s="142"/>
      <c r="S599" s="142"/>
      <c r="U599" s="5"/>
      <c r="W599" s="143"/>
      <c r="X599" s="143"/>
    </row>
    <row r="600">
      <c r="B600" s="139"/>
      <c r="D600" s="5"/>
      <c r="E600" s="140"/>
      <c r="H600" s="141"/>
      <c r="R600" s="142"/>
      <c r="S600" s="142"/>
      <c r="U600" s="5"/>
      <c r="W600" s="143"/>
      <c r="X600" s="143"/>
    </row>
    <row r="601">
      <c r="B601" s="139"/>
      <c r="D601" s="5"/>
      <c r="E601" s="140"/>
      <c r="H601" s="141"/>
      <c r="R601" s="142"/>
      <c r="S601" s="142"/>
      <c r="U601" s="5"/>
      <c r="W601" s="143"/>
      <c r="X601" s="143"/>
    </row>
    <row r="602">
      <c r="B602" s="139"/>
      <c r="D602" s="5"/>
      <c r="E602" s="140"/>
      <c r="H602" s="141"/>
      <c r="R602" s="142"/>
      <c r="S602" s="142"/>
      <c r="U602" s="5"/>
      <c r="W602" s="143"/>
      <c r="X602" s="143"/>
    </row>
    <row r="603">
      <c r="B603" s="139"/>
      <c r="D603" s="5"/>
      <c r="E603" s="140"/>
      <c r="H603" s="141"/>
      <c r="R603" s="142"/>
      <c r="S603" s="142"/>
      <c r="U603" s="5"/>
      <c r="W603" s="143"/>
      <c r="X603" s="143"/>
    </row>
    <row r="604">
      <c r="B604" s="139"/>
      <c r="D604" s="5"/>
      <c r="E604" s="140"/>
      <c r="H604" s="141"/>
      <c r="R604" s="142"/>
      <c r="S604" s="142"/>
      <c r="U604" s="5"/>
      <c r="W604" s="143"/>
      <c r="X604" s="143"/>
    </row>
    <row r="605">
      <c r="B605" s="139"/>
      <c r="D605" s="5"/>
      <c r="E605" s="140"/>
      <c r="H605" s="141"/>
      <c r="R605" s="142"/>
      <c r="S605" s="142"/>
      <c r="U605" s="5"/>
      <c r="W605" s="143"/>
      <c r="X605" s="143"/>
    </row>
    <row r="606">
      <c r="B606" s="139"/>
      <c r="D606" s="5"/>
      <c r="E606" s="140"/>
      <c r="H606" s="141"/>
      <c r="R606" s="142"/>
      <c r="S606" s="142"/>
      <c r="U606" s="5"/>
      <c r="W606" s="143"/>
      <c r="X606" s="143"/>
    </row>
    <row r="607">
      <c r="B607" s="139"/>
      <c r="D607" s="5"/>
      <c r="E607" s="140"/>
      <c r="H607" s="141"/>
      <c r="R607" s="142"/>
      <c r="S607" s="142"/>
      <c r="U607" s="5"/>
      <c r="W607" s="143"/>
      <c r="X607" s="143"/>
    </row>
    <row r="608">
      <c r="B608" s="139"/>
      <c r="D608" s="5"/>
      <c r="E608" s="140"/>
      <c r="H608" s="141"/>
      <c r="R608" s="142"/>
      <c r="S608" s="142"/>
      <c r="U608" s="5"/>
      <c r="W608" s="143"/>
      <c r="X608" s="143"/>
    </row>
    <row r="609">
      <c r="B609" s="139"/>
      <c r="D609" s="5"/>
      <c r="E609" s="140"/>
      <c r="H609" s="141"/>
      <c r="R609" s="142"/>
      <c r="S609" s="142"/>
      <c r="U609" s="5"/>
      <c r="W609" s="143"/>
      <c r="X609" s="143"/>
    </row>
    <row r="610">
      <c r="B610" s="139"/>
      <c r="D610" s="5"/>
      <c r="E610" s="140"/>
      <c r="H610" s="141"/>
      <c r="R610" s="142"/>
      <c r="S610" s="142"/>
      <c r="U610" s="5"/>
      <c r="W610" s="143"/>
      <c r="X610" s="143"/>
    </row>
    <row r="611">
      <c r="B611" s="139"/>
      <c r="D611" s="5"/>
      <c r="E611" s="140"/>
      <c r="H611" s="141"/>
      <c r="R611" s="142"/>
      <c r="S611" s="142"/>
      <c r="U611" s="5"/>
      <c r="W611" s="143"/>
      <c r="X611" s="143"/>
    </row>
    <row r="612">
      <c r="B612" s="139"/>
      <c r="D612" s="5"/>
      <c r="E612" s="140"/>
      <c r="H612" s="141"/>
      <c r="R612" s="142"/>
      <c r="S612" s="142"/>
      <c r="U612" s="5"/>
      <c r="W612" s="143"/>
      <c r="X612" s="143"/>
    </row>
    <row r="613">
      <c r="B613" s="139"/>
      <c r="D613" s="5"/>
      <c r="E613" s="140"/>
      <c r="H613" s="141"/>
      <c r="R613" s="142"/>
      <c r="S613" s="142"/>
      <c r="U613" s="5"/>
      <c r="W613" s="143"/>
      <c r="X613" s="143"/>
    </row>
    <row r="614">
      <c r="B614" s="139"/>
      <c r="D614" s="5"/>
      <c r="E614" s="140"/>
      <c r="H614" s="141"/>
      <c r="R614" s="142"/>
      <c r="S614" s="142"/>
      <c r="U614" s="5"/>
      <c r="W614" s="143"/>
      <c r="X614" s="143"/>
    </row>
    <row r="615">
      <c r="B615" s="139"/>
      <c r="D615" s="5"/>
      <c r="E615" s="140"/>
      <c r="H615" s="141"/>
      <c r="R615" s="142"/>
      <c r="S615" s="142"/>
      <c r="U615" s="5"/>
      <c r="W615" s="143"/>
      <c r="X615" s="143"/>
    </row>
    <row r="616">
      <c r="B616" s="139"/>
      <c r="D616" s="5"/>
      <c r="E616" s="140"/>
      <c r="H616" s="141"/>
      <c r="R616" s="142"/>
      <c r="S616" s="142"/>
      <c r="U616" s="5"/>
      <c r="W616" s="143"/>
      <c r="X616" s="143"/>
    </row>
    <row r="617">
      <c r="B617" s="139"/>
      <c r="D617" s="5"/>
      <c r="E617" s="140"/>
      <c r="H617" s="141"/>
      <c r="R617" s="142"/>
      <c r="S617" s="142"/>
      <c r="U617" s="5"/>
      <c r="W617" s="143"/>
      <c r="X617" s="143"/>
    </row>
    <row r="618">
      <c r="B618" s="139"/>
      <c r="D618" s="5"/>
      <c r="E618" s="140"/>
      <c r="H618" s="141"/>
      <c r="R618" s="142"/>
      <c r="S618" s="142"/>
      <c r="U618" s="5"/>
      <c r="W618" s="143"/>
      <c r="X618" s="143"/>
    </row>
    <row r="619">
      <c r="B619" s="139"/>
      <c r="D619" s="5"/>
      <c r="E619" s="140"/>
      <c r="H619" s="141"/>
      <c r="R619" s="142"/>
      <c r="S619" s="142"/>
      <c r="U619" s="5"/>
      <c r="W619" s="143"/>
      <c r="X619" s="143"/>
    </row>
    <row r="620">
      <c r="B620" s="139"/>
      <c r="D620" s="5"/>
      <c r="E620" s="140"/>
      <c r="H620" s="141"/>
      <c r="R620" s="142"/>
      <c r="S620" s="142"/>
      <c r="U620" s="5"/>
      <c r="W620" s="143"/>
      <c r="X620" s="143"/>
    </row>
    <row r="621">
      <c r="B621" s="139"/>
      <c r="D621" s="5"/>
      <c r="E621" s="140"/>
      <c r="H621" s="141"/>
      <c r="R621" s="142"/>
      <c r="S621" s="142"/>
      <c r="U621" s="5"/>
      <c r="W621" s="143"/>
      <c r="X621" s="143"/>
    </row>
    <row r="622">
      <c r="B622" s="139"/>
      <c r="D622" s="5"/>
      <c r="E622" s="140"/>
      <c r="H622" s="141"/>
      <c r="R622" s="142"/>
      <c r="S622" s="142"/>
      <c r="U622" s="5"/>
      <c r="W622" s="143"/>
      <c r="X622" s="143"/>
    </row>
    <row r="623">
      <c r="B623" s="139"/>
      <c r="D623" s="5"/>
      <c r="E623" s="140"/>
      <c r="H623" s="141"/>
      <c r="R623" s="142"/>
      <c r="S623" s="142"/>
      <c r="U623" s="5"/>
      <c r="W623" s="143"/>
      <c r="X623" s="143"/>
    </row>
    <row r="624">
      <c r="B624" s="139"/>
      <c r="D624" s="5"/>
      <c r="E624" s="140"/>
      <c r="H624" s="141"/>
      <c r="R624" s="142"/>
      <c r="S624" s="142"/>
      <c r="U624" s="5"/>
      <c r="W624" s="143"/>
      <c r="X624" s="143"/>
    </row>
    <row r="625">
      <c r="B625" s="139"/>
      <c r="D625" s="5"/>
      <c r="E625" s="140"/>
      <c r="H625" s="141"/>
      <c r="R625" s="142"/>
      <c r="S625" s="142"/>
      <c r="U625" s="5"/>
      <c r="W625" s="143"/>
      <c r="X625" s="143"/>
    </row>
    <row r="626">
      <c r="B626" s="139"/>
      <c r="D626" s="5"/>
      <c r="E626" s="140"/>
      <c r="H626" s="141"/>
      <c r="R626" s="142"/>
      <c r="S626" s="142"/>
      <c r="U626" s="5"/>
      <c r="W626" s="143"/>
      <c r="X626" s="143"/>
    </row>
    <row r="627">
      <c r="B627" s="139"/>
      <c r="D627" s="5"/>
      <c r="E627" s="140"/>
      <c r="H627" s="141"/>
      <c r="R627" s="142"/>
      <c r="S627" s="142"/>
      <c r="U627" s="5"/>
      <c r="W627" s="143"/>
      <c r="X627" s="143"/>
    </row>
    <row r="628">
      <c r="B628" s="139"/>
      <c r="D628" s="5"/>
      <c r="E628" s="140"/>
      <c r="H628" s="141"/>
      <c r="R628" s="142"/>
      <c r="S628" s="142"/>
      <c r="U628" s="5"/>
      <c r="W628" s="143"/>
      <c r="X628" s="143"/>
    </row>
    <row r="629">
      <c r="B629" s="139"/>
      <c r="D629" s="5"/>
      <c r="E629" s="140"/>
      <c r="H629" s="141"/>
      <c r="R629" s="142"/>
      <c r="S629" s="142"/>
      <c r="U629" s="5"/>
      <c r="W629" s="143"/>
      <c r="X629" s="143"/>
    </row>
    <row r="630">
      <c r="B630" s="139"/>
      <c r="D630" s="5"/>
      <c r="E630" s="140"/>
      <c r="H630" s="141"/>
      <c r="R630" s="142"/>
      <c r="S630" s="142"/>
      <c r="U630" s="5"/>
      <c r="W630" s="143"/>
      <c r="X630" s="143"/>
    </row>
    <row r="631">
      <c r="B631" s="139"/>
      <c r="D631" s="5"/>
      <c r="E631" s="140"/>
      <c r="H631" s="141"/>
      <c r="R631" s="142"/>
      <c r="S631" s="142"/>
      <c r="U631" s="5"/>
      <c r="W631" s="143"/>
      <c r="X631" s="143"/>
    </row>
    <row r="632">
      <c r="B632" s="139"/>
      <c r="D632" s="5"/>
      <c r="E632" s="140"/>
      <c r="H632" s="141"/>
      <c r="R632" s="142"/>
      <c r="S632" s="142"/>
      <c r="U632" s="5"/>
      <c r="W632" s="143"/>
      <c r="X632" s="143"/>
    </row>
    <row r="633">
      <c r="B633" s="139"/>
      <c r="D633" s="5"/>
      <c r="E633" s="140"/>
      <c r="H633" s="141"/>
      <c r="R633" s="142"/>
      <c r="S633" s="142"/>
      <c r="U633" s="5"/>
      <c r="W633" s="143"/>
      <c r="X633" s="143"/>
    </row>
    <row r="634">
      <c r="B634" s="139"/>
      <c r="D634" s="5"/>
      <c r="E634" s="140"/>
      <c r="H634" s="141"/>
      <c r="R634" s="142"/>
      <c r="S634" s="142"/>
      <c r="U634" s="5"/>
      <c r="W634" s="143"/>
      <c r="X634" s="143"/>
    </row>
    <row r="635">
      <c r="B635" s="139"/>
      <c r="D635" s="5"/>
      <c r="E635" s="140"/>
      <c r="H635" s="141"/>
      <c r="R635" s="142"/>
      <c r="S635" s="142"/>
      <c r="U635" s="5"/>
      <c r="W635" s="143"/>
      <c r="X635" s="143"/>
    </row>
    <row r="636">
      <c r="B636" s="139"/>
      <c r="D636" s="5"/>
      <c r="E636" s="140"/>
      <c r="H636" s="141"/>
      <c r="R636" s="142"/>
      <c r="S636" s="142"/>
      <c r="U636" s="5"/>
      <c r="W636" s="143"/>
      <c r="X636" s="143"/>
    </row>
    <row r="637">
      <c r="B637" s="139"/>
      <c r="D637" s="5"/>
      <c r="E637" s="140"/>
      <c r="H637" s="141"/>
      <c r="R637" s="142"/>
      <c r="S637" s="142"/>
      <c r="U637" s="5"/>
      <c r="W637" s="143"/>
      <c r="X637" s="143"/>
    </row>
    <row r="638">
      <c r="B638" s="139"/>
      <c r="D638" s="5"/>
      <c r="E638" s="140"/>
      <c r="H638" s="141"/>
      <c r="R638" s="142"/>
      <c r="S638" s="142"/>
      <c r="U638" s="5"/>
      <c r="W638" s="143"/>
      <c r="X638" s="143"/>
    </row>
    <row r="639">
      <c r="B639" s="139"/>
      <c r="D639" s="5"/>
      <c r="E639" s="140"/>
      <c r="H639" s="141"/>
      <c r="R639" s="142"/>
      <c r="S639" s="142"/>
      <c r="U639" s="5"/>
      <c r="W639" s="143"/>
      <c r="X639" s="143"/>
    </row>
    <row r="640">
      <c r="B640" s="139"/>
      <c r="D640" s="5"/>
      <c r="E640" s="140"/>
      <c r="H640" s="141"/>
      <c r="R640" s="142"/>
      <c r="S640" s="142"/>
      <c r="U640" s="5"/>
      <c r="W640" s="143"/>
      <c r="X640" s="143"/>
    </row>
    <row r="641">
      <c r="B641" s="139"/>
      <c r="D641" s="5"/>
      <c r="E641" s="140"/>
      <c r="H641" s="141"/>
      <c r="R641" s="142"/>
      <c r="S641" s="142"/>
      <c r="U641" s="5"/>
      <c r="W641" s="143"/>
      <c r="X641" s="143"/>
    </row>
    <row r="642">
      <c r="B642" s="139"/>
      <c r="D642" s="5"/>
      <c r="E642" s="140"/>
      <c r="H642" s="141"/>
      <c r="R642" s="142"/>
      <c r="S642" s="142"/>
      <c r="U642" s="5"/>
      <c r="W642" s="143"/>
      <c r="X642" s="143"/>
    </row>
    <row r="643">
      <c r="B643" s="139"/>
      <c r="D643" s="5"/>
      <c r="E643" s="140"/>
      <c r="H643" s="141"/>
      <c r="R643" s="142"/>
      <c r="S643" s="142"/>
      <c r="U643" s="5"/>
      <c r="W643" s="143"/>
      <c r="X643" s="143"/>
    </row>
    <row r="644">
      <c r="B644" s="139"/>
      <c r="D644" s="5"/>
      <c r="E644" s="140"/>
      <c r="H644" s="141"/>
      <c r="R644" s="142"/>
      <c r="S644" s="142"/>
      <c r="U644" s="5"/>
      <c r="W644" s="143"/>
      <c r="X644" s="143"/>
    </row>
    <row r="645">
      <c r="B645" s="139"/>
      <c r="D645" s="5"/>
      <c r="E645" s="140"/>
      <c r="H645" s="141"/>
      <c r="R645" s="142"/>
      <c r="S645" s="142"/>
      <c r="U645" s="5"/>
      <c r="W645" s="143"/>
      <c r="X645" s="143"/>
    </row>
    <row r="646">
      <c r="B646" s="139"/>
      <c r="D646" s="5"/>
      <c r="E646" s="140"/>
      <c r="H646" s="141"/>
      <c r="R646" s="142"/>
      <c r="S646" s="142"/>
      <c r="U646" s="5"/>
      <c r="W646" s="143"/>
      <c r="X646" s="143"/>
    </row>
    <row r="647">
      <c r="B647" s="139"/>
      <c r="D647" s="5"/>
      <c r="E647" s="140"/>
      <c r="H647" s="141"/>
      <c r="R647" s="142"/>
      <c r="S647" s="142"/>
      <c r="U647" s="5"/>
      <c r="W647" s="143"/>
      <c r="X647" s="143"/>
    </row>
    <row r="648">
      <c r="B648" s="139"/>
      <c r="D648" s="5"/>
      <c r="E648" s="140"/>
      <c r="H648" s="141"/>
      <c r="R648" s="142"/>
      <c r="S648" s="142"/>
      <c r="U648" s="5"/>
      <c r="W648" s="143"/>
      <c r="X648" s="143"/>
    </row>
    <row r="649">
      <c r="B649" s="139"/>
      <c r="D649" s="5"/>
      <c r="E649" s="140"/>
      <c r="H649" s="141"/>
      <c r="R649" s="142"/>
      <c r="S649" s="142"/>
      <c r="U649" s="5"/>
      <c r="W649" s="143"/>
      <c r="X649" s="143"/>
    </row>
    <row r="650">
      <c r="B650" s="139"/>
      <c r="D650" s="5"/>
      <c r="E650" s="140"/>
      <c r="H650" s="141"/>
      <c r="R650" s="142"/>
      <c r="S650" s="142"/>
      <c r="U650" s="5"/>
      <c r="W650" s="143"/>
      <c r="X650" s="143"/>
    </row>
    <row r="651">
      <c r="B651" s="139"/>
      <c r="D651" s="5"/>
      <c r="E651" s="140"/>
      <c r="H651" s="141"/>
      <c r="R651" s="142"/>
      <c r="S651" s="142"/>
      <c r="U651" s="5"/>
      <c r="W651" s="143"/>
      <c r="X651" s="143"/>
    </row>
    <row r="652">
      <c r="B652" s="139"/>
      <c r="D652" s="5"/>
      <c r="E652" s="140"/>
      <c r="H652" s="141"/>
      <c r="R652" s="142"/>
      <c r="S652" s="142"/>
      <c r="U652" s="5"/>
      <c r="W652" s="143"/>
      <c r="X652" s="143"/>
    </row>
    <row r="653">
      <c r="B653" s="139"/>
      <c r="D653" s="5"/>
      <c r="E653" s="140"/>
      <c r="H653" s="141"/>
      <c r="R653" s="142"/>
      <c r="S653" s="142"/>
      <c r="U653" s="5"/>
      <c r="W653" s="143"/>
      <c r="X653" s="143"/>
    </row>
    <row r="654">
      <c r="B654" s="139"/>
      <c r="D654" s="5"/>
      <c r="E654" s="140"/>
      <c r="H654" s="141"/>
      <c r="R654" s="142"/>
      <c r="S654" s="142"/>
      <c r="U654" s="5"/>
      <c r="W654" s="143"/>
      <c r="X654" s="143"/>
    </row>
    <row r="655">
      <c r="B655" s="139"/>
      <c r="D655" s="5"/>
      <c r="E655" s="140"/>
      <c r="H655" s="141"/>
      <c r="R655" s="142"/>
      <c r="S655" s="142"/>
      <c r="U655" s="5"/>
      <c r="W655" s="143"/>
      <c r="X655" s="143"/>
    </row>
    <row r="656">
      <c r="B656" s="139"/>
      <c r="D656" s="5"/>
      <c r="E656" s="140"/>
      <c r="H656" s="141"/>
      <c r="R656" s="142"/>
      <c r="S656" s="142"/>
      <c r="U656" s="5"/>
      <c r="W656" s="143"/>
      <c r="X656" s="143"/>
    </row>
    <row r="657">
      <c r="B657" s="139"/>
      <c r="D657" s="5"/>
      <c r="E657" s="140"/>
      <c r="H657" s="141"/>
      <c r="R657" s="142"/>
      <c r="S657" s="142"/>
      <c r="U657" s="5"/>
      <c r="W657" s="143"/>
      <c r="X657" s="143"/>
    </row>
    <row r="658">
      <c r="B658" s="139"/>
      <c r="D658" s="5"/>
      <c r="E658" s="140"/>
      <c r="H658" s="141"/>
      <c r="R658" s="142"/>
      <c r="S658" s="142"/>
      <c r="U658" s="5"/>
      <c r="W658" s="143"/>
      <c r="X658" s="143"/>
    </row>
    <row r="659">
      <c r="B659" s="139"/>
      <c r="D659" s="5"/>
      <c r="E659" s="140"/>
      <c r="H659" s="141"/>
      <c r="R659" s="142"/>
      <c r="S659" s="142"/>
      <c r="U659" s="5"/>
      <c r="W659" s="143"/>
      <c r="X659" s="143"/>
    </row>
    <row r="660">
      <c r="B660" s="139"/>
      <c r="D660" s="5"/>
      <c r="E660" s="140"/>
      <c r="H660" s="141"/>
      <c r="R660" s="142"/>
      <c r="S660" s="142"/>
      <c r="U660" s="5"/>
      <c r="W660" s="143"/>
      <c r="X660" s="143"/>
    </row>
    <row r="661">
      <c r="B661" s="139"/>
      <c r="D661" s="5"/>
      <c r="E661" s="140"/>
      <c r="H661" s="141"/>
      <c r="R661" s="142"/>
      <c r="S661" s="142"/>
      <c r="U661" s="5"/>
      <c r="W661" s="143"/>
      <c r="X661" s="143"/>
    </row>
    <row r="662">
      <c r="B662" s="139"/>
      <c r="D662" s="5"/>
      <c r="E662" s="140"/>
      <c r="H662" s="141"/>
      <c r="R662" s="142"/>
      <c r="S662" s="142"/>
      <c r="U662" s="5"/>
      <c r="W662" s="143"/>
      <c r="X662" s="143"/>
    </row>
    <row r="663">
      <c r="B663" s="139"/>
      <c r="D663" s="5"/>
      <c r="E663" s="140"/>
      <c r="H663" s="141"/>
      <c r="R663" s="142"/>
      <c r="S663" s="142"/>
      <c r="U663" s="5"/>
      <c r="W663" s="143"/>
      <c r="X663" s="143"/>
    </row>
    <row r="664">
      <c r="B664" s="139"/>
      <c r="D664" s="5"/>
      <c r="E664" s="140"/>
      <c r="H664" s="141"/>
      <c r="R664" s="142"/>
      <c r="S664" s="142"/>
      <c r="U664" s="5"/>
      <c r="W664" s="143"/>
      <c r="X664" s="143"/>
    </row>
    <row r="665">
      <c r="B665" s="139"/>
      <c r="D665" s="5"/>
      <c r="E665" s="140"/>
      <c r="H665" s="141"/>
      <c r="R665" s="142"/>
      <c r="S665" s="142"/>
      <c r="U665" s="5"/>
      <c r="W665" s="143"/>
      <c r="X665" s="143"/>
    </row>
    <row r="666">
      <c r="B666" s="139"/>
      <c r="D666" s="5"/>
      <c r="E666" s="140"/>
      <c r="H666" s="141"/>
      <c r="R666" s="142"/>
      <c r="S666" s="142"/>
      <c r="U666" s="5"/>
      <c r="W666" s="143"/>
      <c r="X666" s="143"/>
    </row>
    <row r="667">
      <c r="B667" s="139"/>
      <c r="D667" s="5"/>
      <c r="E667" s="140"/>
      <c r="H667" s="141"/>
      <c r="R667" s="142"/>
      <c r="S667" s="142"/>
      <c r="U667" s="5"/>
      <c r="W667" s="143"/>
      <c r="X667" s="143"/>
    </row>
    <row r="668">
      <c r="B668" s="139"/>
      <c r="D668" s="5"/>
      <c r="E668" s="140"/>
      <c r="H668" s="141"/>
      <c r="R668" s="142"/>
      <c r="S668" s="142"/>
      <c r="U668" s="5"/>
      <c r="W668" s="143"/>
      <c r="X668" s="143"/>
    </row>
    <row r="669">
      <c r="B669" s="139"/>
      <c r="D669" s="5"/>
      <c r="E669" s="140"/>
      <c r="H669" s="141"/>
      <c r="R669" s="142"/>
      <c r="S669" s="142"/>
      <c r="U669" s="5"/>
      <c r="W669" s="143"/>
      <c r="X669" s="143"/>
    </row>
    <row r="670">
      <c r="B670" s="139"/>
      <c r="D670" s="5"/>
      <c r="E670" s="140"/>
      <c r="H670" s="141"/>
      <c r="R670" s="142"/>
      <c r="S670" s="142"/>
      <c r="U670" s="5"/>
      <c r="W670" s="143"/>
      <c r="X670" s="143"/>
    </row>
    <row r="671">
      <c r="B671" s="139"/>
      <c r="D671" s="5"/>
      <c r="E671" s="140"/>
      <c r="H671" s="141"/>
      <c r="R671" s="142"/>
      <c r="S671" s="142"/>
      <c r="U671" s="5"/>
      <c r="W671" s="143"/>
      <c r="X671" s="143"/>
    </row>
    <row r="672">
      <c r="B672" s="139"/>
      <c r="D672" s="5"/>
      <c r="E672" s="140"/>
      <c r="H672" s="141"/>
      <c r="R672" s="142"/>
      <c r="S672" s="142"/>
      <c r="U672" s="5"/>
      <c r="W672" s="143"/>
      <c r="X672" s="143"/>
    </row>
    <row r="673">
      <c r="B673" s="139"/>
      <c r="D673" s="5"/>
      <c r="E673" s="140"/>
      <c r="H673" s="141"/>
      <c r="R673" s="142"/>
      <c r="S673" s="142"/>
      <c r="U673" s="5"/>
      <c r="W673" s="143"/>
      <c r="X673" s="143"/>
    </row>
    <row r="674">
      <c r="B674" s="139"/>
      <c r="D674" s="5"/>
      <c r="E674" s="140"/>
      <c r="H674" s="141"/>
      <c r="R674" s="142"/>
      <c r="S674" s="142"/>
      <c r="U674" s="5"/>
      <c r="W674" s="143"/>
      <c r="X674" s="143"/>
    </row>
    <row r="675">
      <c r="B675" s="139"/>
      <c r="D675" s="5"/>
      <c r="E675" s="140"/>
      <c r="H675" s="141"/>
      <c r="R675" s="142"/>
      <c r="S675" s="142"/>
      <c r="U675" s="5"/>
      <c r="W675" s="143"/>
      <c r="X675" s="143"/>
    </row>
    <row r="676">
      <c r="B676" s="139"/>
      <c r="D676" s="5"/>
      <c r="E676" s="140"/>
      <c r="H676" s="141"/>
      <c r="R676" s="142"/>
      <c r="S676" s="142"/>
      <c r="U676" s="5"/>
      <c r="W676" s="143"/>
      <c r="X676" s="143"/>
    </row>
    <row r="677">
      <c r="B677" s="139"/>
      <c r="D677" s="5"/>
      <c r="E677" s="140"/>
      <c r="H677" s="141"/>
      <c r="R677" s="142"/>
      <c r="S677" s="142"/>
      <c r="U677" s="5"/>
      <c r="W677" s="143"/>
      <c r="X677" s="143"/>
    </row>
    <row r="678">
      <c r="B678" s="139"/>
      <c r="D678" s="5"/>
      <c r="E678" s="140"/>
      <c r="H678" s="141"/>
      <c r="R678" s="142"/>
      <c r="S678" s="142"/>
      <c r="U678" s="5"/>
      <c r="W678" s="143"/>
      <c r="X678" s="143"/>
    </row>
    <row r="679">
      <c r="B679" s="139"/>
      <c r="D679" s="5"/>
      <c r="E679" s="140"/>
      <c r="H679" s="141"/>
      <c r="R679" s="142"/>
      <c r="S679" s="142"/>
      <c r="U679" s="5"/>
      <c r="W679" s="143"/>
      <c r="X679" s="143"/>
    </row>
    <row r="680">
      <c r="B680" s="139"/>
      <c r="D680" s="5"/>
      <c r="E680" s="140"/>
      <c r="H680" s="141"/>
      <c r="R680" s="142"/>
      <c r="S680" s="142"/>
      <c r="U680" s="5"/>
      <c r="W680" s="143"/>
      <c r="X680" s="143"/>
    </row>
    <row r="681">
      <c r="B681" s="139"/>
      <c r="D681" s="5"/>
      <c r="E681" s="140"/>
      <c r="H681" s="141"/>
      <c r="R681" s="142"/>
      <c r="S681" s="142"/>
      <c r="U681" s="5"/>
      <c r="W681" s="143"/>
      <c r="X681" s="143"/>
    </row>
    <row r="682">
      <c r="B682" s="139"/>
      <c r="D682" s="5"/>
      <c r="E682" s="140"/>
      <c r="H682" s="141"/>
      <c r="R682" s="142"/>
      <c r="S682" s="142"/>
      <c r="U682" s="5"/>
      <c r="W682" s="143"/>
      <c r="X682" s="143"/>
    </row>
    <row r="683">
      <c r="B683" s="139"/>
      <c r="D683" s="5"/>
      <c r="E683" s="140"/>
      <c r="H683" s="141"/>
      <c r="R683" s="142"/>
      <c r="S683" s="142"/>
      <c r="U683" s="5"/>
      <c r="W683" s="143"/>
      <c r="X683" s="143"/>
    </row>
    <row r="684">
      <c r="B684" s="139"/>
      <c r="D684" s="5"/>
      <c r="E684" s="140"/>
      <c r="H684" s="141"/>
      <c r="R684" s="142"/>
      <c r="S684" s="142"/>
      <c r="U684" s="5"/>
      <c r="W684" s="143"/>
      <c r="X684" s="143"/>
    </row>
    <row r="685">
      <c r="B685" s="139"/>
      <c r="D685" s="5"/>
      <c r="E685" s="140"/>
      <c r="H685" s="141"/>
      <c r="R685" s="142"/>
      <c r="S685" s="142"/>
      <c r="U685" s="5"/>
      <c r="W685" s="143"/>
      <c r="X685" s="143"/>
    </row>
    <row r="686">
      <c r="B686" s="139"/>
      <c r="D686" s="5"/>
      <c r="E686" s="140"/>
      <c r="H686" s="141"/>
      <c r="R686" s="142"/>
      <c r="S686" s="142"/>
      <c r="U686" s="5"/>
      <c r="W686" s="143"/>
      <c r="X686" s="143"/>
    </row>
    <row r="687">
      <c r="B687" s="139"/>
      <c r="D687" s="5"/>
      <c r="E687" s="140"/>
      <c r="H687" s="141"/>
      <c r="R687" s="142"/>
      <c r="S687" s="142"/>
      <c r="U687" s="5"/>
      <c r="W687" s="143"/>
      <c r="X687" s="143"/>
    </row>
    <row r="688">
      <c r="B688" s="139"/>
      <c r="D688" s="5"/>
      <c r="E688" s="140"/>
      <c r="H688" s="141"/>
      <c r="R688" s="142"/>
      <c r="S688" s="142"/>
      <c r="U688" s="5"/>
      <c r="W688" s="143"/>
      <c r="X688" s="143"/>
    </row>
    <row r="689">
      <c r="B689" s="139"/>
      <c r="D689" s="5"/>
      <c r="E689" s="140"/>
      <c r="H689" s="141"/>
      <c r="R689" s="142"/>
      <c r="S689" s="142"/>
      <c r="U689" s="5"/>
      <c r="W689" s="143"/>
      <c r="X689" s="143"/>
    </row>
    <row r="690">
      <c r="B690" s="139"/>
      <c r="D690" s="5"/>
      <c r="E690" s="140"/>
      <c r="H690" s="141"/>
      <c r="R690" s="142"/>
      <c r="S690" s="142"/>
      <c r="U690" s="5"/>
      <c r="W690" s="143"/>
      <c r="X690" s="143"/>
    </row>
    <row r="691">
      <c r="B691" s="139"/>
      <c r="D691" s="5"/>
      <c r="E691" s="140"/>
      <c r="H691" s="141"/>
      <c r="R691" s="142"/>
      <c r="S691" s="142"/>
      <c r="U691" s="5"/>
      <c r="W691" s="143"/>
      <c r="X691" s="143"/>
    </row>
    <row r="692">
      <c r="B692" s="139"/>
      <c r="D692" s="5"/>
      <c r="E692" s="140"/>
      <c r="H692" s="141"/>
      <c r="R692" s="142"/>
      <c r="S692" s="142"/>
      <c r="U692" s="5"/>
      <c r="W692" s="143"/>
      <c r="X692" s="143"/>
    </row>
    <row r="693">
      <c r="B693" s="139"/>
      <c r="D693" s="5"/>
      <c r="E693" s="140"/>
      <c r="H693" s="141"/>
      <c r="R693" s="142"/>
      <c r="S693" s="142"/>
      <c r="U693" s="5"/>
      <c r="W693" s="143"/>
      <c r="X693" s="143"/>
    </row>
    <row r="694">
      <c r="B694" s="139"/>
      <c r="D694" s="5"/>
      <c r="E694" s="140"/>
      <c r="H694" s="141"/>
      <c r="R694" s="142"/>
      <c r="S694" s="142"/>
      <c r="U694" s="5"/>
      <c r="W694" s="143"/>
      <c r="X694" s="143"/>
    </row>
    <row r="695">
      <c r="B695" s="139"/>
      <c r="D695" s="5"/>
      <c r="E695" s="140"/>
      <c r="H695" s="141"/>
      <c r="R695" s="142"/>
      <c r="S695" s="142"/>
      <c r="U695" s="5"/>
      <c r="W695" s="143"/>
      <c r="X695" s="143"/>
    </row>
    <row r="696">
      <c r="B696" s="139"/>
      <c r="D696" s="5"/>
      <c r="E696" s="140"/>
      <c r="H696" s="141"/>
      <c r="R696" s="142"/>
      <c r="S696" s="142"/>
      <c r="U696" s="5"/>
      <c r="W696" s="143"/>
      <c r="X696" s="143"/>
    </row>
    <row r="697">
      <c r="B697" s="139"/>
      <c r="D697" s="5"/>
      <c r="E697" s="140"/>
      <c r="H697" s="141"/>
      <c r="R697" s="142"/>
      <c r="S697" s="142"/>
      <c r="U697" s="5"/>
      <c r="W697" s="143"/>
      <c r="X697" s="143"/>
    </row>
    <row r="698">
      <c r="B698" s="139"/>
      <c r="D698" s="5"/>
      <c r="E698" s="140"/>
      <c r="H698" s="141"/>
      <c r="R698" s="142"/>
      <c r="S698" s="142"/>
      <c r="U698" s="5"/>
      <c r="W698" s="143"/>
      <c r="X698" s="143"/>
    </row>
    <row r="699">
      <c r="B699" s="139"/>
      <c r="D699" s="5"/>
      <c r="E699" s="140"/>
      <c r="H699" s="141"/>
      <c r="R699" s="142"/>
      <c r="S699" s="142"/>
      <c r="U699" s="5"/>
      <c r="W699" s="143"/>
      <c r="X699" s="143"/>
    </row>
    <row r="700">
      <c r="B700" s="139"/>
      <c r="D700" s="5"/>
      <c r="E700" s="140"/>
      <c r="H700" s="141"/>
      <c r="R700" s="142"/>
      <c r="S700" s="142"/>
      <c r="U700" s="5"/>
      <c r="W700" s="143"/>
      <c r="X700" s="143"/>
    </row>
    <row r="701">
      <c r="B701" s="139"/>
      <c r="D701" s="5"/>
      <c r="E701" s="140"/>
      <c r="H701" s="141"/>
      <c r="R701" s="142"/>
      <c r="S701" s="142"/>
      <c r="U701" s="5"/>
      <c r="W701" s="143"/>
      <c r="X701" s="143"/>
    </row>
    <row r="702">
      <c r="B702" s="139"/>
      <c r="D702" s="5"/>
      <c r="E702" s="140"/>
      <c r="H702" s="141"/>
      <c r="R702" s="142"/>
      <c r="S702" s="142"/>
      <c r="U702" s="5"/>
      <c r="W702" s="143"/>
      <c r="X702" s="143"/>
    </row>
    <row r="703">
      <c r="B703" s="139"/>
      <c r="D703" s="5"/>
      <c r="E703" s="140"/>
      <c r="H703" s="141"/>
      <c r="R703" s="142"/>
      <c r="S703" s="142"/>
      <c r="U703" s="5"/>
      <c r="W703" s="143"/>
      <c r="X703" s="143"/>
    </row>
    <row r="704">
      <c r="B704" s="139"/>
      <c r="D704" s="5"/>
      <c r="E704" s="140"/>
      <c r="H704" s="141"/>
      <c r="R704" s="142"/>
      <c r="S704" s="142"/>
      <c r="U704" s="5"/>
      <c r="W704" s="143"/>
      <c r="X704" s="143"/>
    </row>
    <row r="705">
      <c r="B705" s="139"/>
      <c r="D705" s="5"/>
      <c r="E705" s="140"/>
      <c r="H705" s="141"/>
      <c r="R705" s="142"/>
      <c r="S705" s="142"/>
      <c r="U705" s="5"/>
      <c r="W705" s="143"/>
      <c r="X705" s="143"/>
    </row>
    <row r="706">
      <c r="B706" s="139"/>
      <c r="D706" s="5"/>
      <c r="E706" s="140"/>
      <c r="H706" s="141"/>
      <c r="R706" s="142"/>
      <c r="S706" s="142"/>
      <c r="U706" s="5"/>
      <c r="W706" s="143"/>
      <c r="X706" s="143"/>
    </row>
    <row r="707">
      <c r="B707" s="139"/>
      <c r="D707" s="5"/>
      <c r="E707" s="140"/>
      <c r="H707" s="141"/>
      <c r="R707" s="142"/>
      <c r="S707" s="142"/>
      <c r="U707" s="5"/>
      <c r="W707" s="143"/>
      <c r="X707" s="143"/>
    </row>
    <row r="708">
      <c r="B708" s="139"/>
      <c r="D708" s="5"/>
      <c r="E708" s="140"/>
      <c r="H708" s="141"/>
      <c r="R708" s="142"/>
      <c r="S708" s="142"/>
      <c r="U708" s="5"/>
      <c r="W708" s="143"/>
      <c r="X708" s="143"/>
    </row>
    <row r="709">
      <c r="B709" s="139"/>
      <c r="D709" s="5"/>
      <c r="E709" s="140"/>
      <c r="H709" s="141"/>
      <c r="R709" s="142"/>
      <c r="S709" s="142"/>
      <c r="U709" s="5"/>
      <c r="W709" s="143"/>
      <c r="X709" s="143"/>
    </row>
    <row r="710">
      <c r="B710" s="139"/>
      <c r="D710" s="5"/>
      <c r="E710" s="140"/>
      <c r="H710" s="141"/>
      <c r="R710" s="142"/>
      <c r="S710" s="142"/>
      <c r="U710" s="5"/>
      <c r="W710" s="143"/>
      <c r="X710" s="143"/>
    </row>
    <row r="711">
      <c r="B711" s="139"/>
      <c r="D711" s="5"/>
      <c r="E711" s="140"/>
      <c r="H711" s="141"/>
      <c r="R711" s="142"/>
      <c r="S711" s="142"/>
      <c r="U711" s="5"/>
      <c r="W711" s="143"/>
      <c r="X711" s="143"/>
    </row>
    <row r="712">
      <c r="B712" s="139"/>
      <c r="D712" s="5"/>
      <c r="E712" s="140"/>
      <c r="H712" s="141"/>
      <c r="R712" s="142"/>
      <c r="S712" s="142"/>
      <c r="U712" s="5"/>
      <c r="W712" s="143"/>
      <c r="X712" s="143"/>
    </row>
    <row r="713">
      <c r="B713" s="139"/>
      <c r="D713" s="5"/>
      <c r="E713" s="140"/>
      <c r="H713" s="141"/>
      <c r="R713" s="142"/>
      <c r="S713" s="142"/>
      <c r="U713" s="5"/>
      <c r="W713" s="143"/>
      <c r="X713" s="143"/>
    </row>
    <row r="714">
      <c r="B714" s="139"/>
      <c r="D714" s="5"/>
      <c r="E714" s="140"/>
      <c r="H714" s="141"/>
      <c r="R714" s="142"/>
      <c r="S714" s="142"/>
      <c r="U714" s="5"/>
      <c r="W714" s="143"/>
      <c r="X714" s="143"/>
    </row>
    <row r="715">
      <c r="B715" s="139"/>
      <c r="D715" s="5"/>
      <c r="E715" s="140"/>
      <c r="H715" s="141"/>
      <c r="R715" s="142"/>
      <c r="S715" s="142"/>
      <c r="U715" s="5"/>
      <c r="W715" s="143"/>
      <c r="X715" s="143"/>
    </row>
    <row r="716">
      <c r="B716" s="139"/>
      <c r="D716" s="5"/>
      <c r="E716" s="140"/>
      <c r="H716" s="141"/>
      <c r="R716" s="142"/>
      <c r="S716" s="142"/>
      <c r="U716" s="5"/>
      <c r="W716" s="143"/>
      <c r="X716" s="143"/>
    </row>
    <row r="717">
      <c r="B717" s="139"/>
      <c r="D717" s="5"/>
      <c r="E717" s="140"/>
      <c r="H717" s="141"/>
      <c r="R717" s="142"/>
      <c r="S717" s="142"/>
      <c r="U717" s="5"/>
      <c r="W717" s="143"/>
      <c r="X717" s="143"/>
    </row>
    <row r="718">
      <c r="B718" s="139"/>
      <c r="D718" s="5"/>
      <c r="E718" s="140"/>
      <c r="H718" s="141"/>
      <c r="R718" s="142"/>
      <c r="S718" s="142"/>
      <c r="U718" s="5"/>
      <c r="W718" s="143"/>
      <c r="X718" s="143"/>
    </row>
    <row r="719">
      <c r="B719" s="139"/>
      <c r="D719" s="5"/>
      <c r="E719" s="140"/>
      <c r="H719" s="141"/>
      <c r="R719" s="142"/>
      <c r="S719" s="142"/>
      <c r="U719" s="5"/>
      <c r="W719" s="143"/>
      <c r="X719" s="143"/>
    </row>
    <row r="720">
      <c r="B720" s="139"/>
      <c r="D720" s="5"/>
      <c r="E720" s="140"/>
      <c r="H720" s="141"/>
      <c r="R720" s="142"/>
      <c r="S720" s="142"/>
      <c r="U720" s="5"/>
      <c r="W720" s="143"/>
      <c r="X720" s="143"/>
    </row>
    <row r="721">
      <c r="B721" s="139"/>
      <c r="D721" s="5"/>
      <c r="E721" s="140"/>
      <c r="H721" s="141"/>
      <c r="R721" s="142"/>
      <c r="S721" s="142"/>
      <c r="U721" s="5"/>
      <c r="W721" s="143"/>
      <c r="X721" s="143"/>
    </row>
    <row r="722">
      <c r="B722" s="139"/>
      <c r="D722" s="5"/>
      <c r="E722" s="140"/>
      <c r="H722" s="141"/>
      <c r="R722" s="142"/>
      <c r="S722" s="142"/>
      <c r="U722" s="5"/>
      <c r="W722" s="143"/>
      <c r="X722" s="143"/>
    </row>
    <row r="723">
      <c r="B723" s="139"/>
      <c r="D723" s="5"/>
      <c r="E723" s="140"/>
      <c r="H723" s="141"/>
      <c r="R723" s="142"/>
      <c r="S723" s="142"/>
      <c r="U723" s="5"/>
      <c r="W723" s="143"/>
      <c r="X723" s="143"/>
    </row>
    <row r="724">
      <c r="B724" s="139"/>
      <c r="D724" s="5"/>
      <c r="E724" s="140"/>
      <c r="H724" s="141"/>
      <c r="R724" s="142"/>
      <c r="S724" s="142"/>
      <c r="U724" s="5"/>
      <c r="W724" s="143"/>
      <c r="X724" s="143"/>
    </row>
    <row r="725">
      <c r="B725" s="139"/>
      <c r="D725" s="5"/>
      <c r="E725" s="140"/>
      <c r="H725" s="141"/>
      <c r="R725" s="142"/>
      <c r="S725" s="142"/>
      <c r="U725" s="5"/>
      <c r="W725" s="143"/>
      <c r="X725" s="143"/>
    </row>
    <row r="726">
      <c r="B726" s="139"/>
      <c r="D726" s="5"/>
      <c r="E726" s="140"/>
      <c r="H726" s="141"/>
      <c r="R726" s="142"/>
      <c r="S726" s="142"/>
      <c r="U726" s="5"/>
      <c r="W726" s="143"/>
      <c r="X726" s="143"/>
    </row>
    <row r="727">
      <c r="B727" s="139"/>
      <c r="D727" s="5"/>
      <c r="E727" s="140"/>
      <c r="H727" s="141"/>
      <c r="R727" s="142"/>
      <c r="S727" s="142"/>
      <c r="U727" s="5"/>
      <c r="W727" s="143"/>
      <c r="X727" s="143"/>
    </row>
    <row r="728">
      <c r="B728" s="139"/>
      <c r="D728" s="5"/>
      <c r="E728" s="140"/>
      <c r="H728" s="141"/>
      <c r="R728" s="142"/>
      <c r="S728" s="142"/>
      <c r="U728" s="5"/>
      <c r="W728" s="143"/>
      <c r="X728" s="143"/>
    </row>
    <row r="729">
      <c r="B729" s="139"/>
      <c r="D729" s="5"/>
      <c r="E729" s="140"/>
      <c r="H729" s="141"/>
      <c r="R729" s="142"/>
      <c r="S729" s="142"/>
      <c r="U729" s="5"/>
      <c r="W729" s="143"/>
      <c r="X729" s="143"/>
    </row>
    <row r="730">
      <c r="B730" s="139"/>
      <c r="D730" s="5"/>
      <c r="E730" s="140"/>
      <c r="H730" s="141"/>
      <c r="R730" s="142"/>
      <c r="S730" s="142"/>
      <c r="U730" s="5"/>
      <c r="W730" s="143"/>
      <c r="X730" s="143"/>
    </row>
    <row r="731">
      <c r="B731" s="139"/>
      <c r="D731" s="5"/>
      <c r="E731" s="140"/>
      <c r="H731" s="141"/>
      <c r="R731" s="142"/>
      <c r="S731" s="142"/>
      <c r="U731" s="5"/>
      <c r="W731" s="143"/>
      <c r="X731" s="143"/>
    </row>
    <row r="732">
      <c r="B732" s="139"/>
      <c r="D732" s="5"/>
      <c r="E732" s="140"/>
      <c r="H732" s="141"/>
      <c r="R732" s="142"/>
      <c r="S732" s="142"/>
      <c r="U732" s="5"/>
      <c r="W732" s="143"/>
      <c r="X732" s="143"/>
    </row>
    <row r="733">
      <c r="B733" s="139"/>
      <c r="D733" s="5"/>
      <c r="E733" s="140"/>
      <c r="H733" s="141"/>
      <c r="R733" s="142"/>
      <c r="S733" s="142"/>
      <c r="U733" s="5"/>
      <c r="W733" s="143"/>
      <c r="X733" s="143"/>
    </row>
    <row r="734">
      <c r="B734" s="139"/>
      <c r="D734" s="5"/>
      <c r="E734" s="140"/>
      <c r="H734" s="141"/>
      <c r="R734" s="142"/>
      <c r="S734" s="142"/>
      <c r="U734" s="5"/>
      <c r="W734" s="143"/>
      <c r="X734" s="143"/>
    </row>
    <row r="735">
      <c r="B735" s="139"/>
      <c r="D735" s="5"/>
      <c r="E735" s="140"/>
      <c r="H735" s="141"/>
      <c r="R735" s="142"/>
      <c r="S735" s="142"/>
      <c r="U735" s="5"/>
      <c r="W735" s="143"/>
      <c r="X735" s="143"/>
    </row>
    <row r="736">
      <c r="B736" s="139"/>
      <c r="D736" s="5"/>
      <c r="E736" s="140"/>
      <c r="H736" s="141"/>
      <c r="R736" s="142"/>
      <c r="S736" s="142"/>
      <c r="U736" s="5"/>
      <c r="W736" s="143"/>
      <c r="X736" s="143"/>
    </row>
    <row r="737">
      <c r="B737" s="139"/>
      <c r="D737" s="5"/>
      <c r="E737" s="140"/>
      <c r="H737" s="141"/>
      <c r="R737" s="142"/>
      <c r="S737" s="142"/>
      <c r="U737" s="5"/>
      <c r="W737" s="143"/>
      <c r="X737" s="143"/>
    </row>
    <row r="738">
      <c r="B738" s="139"/>
      <c r="D738" s="5"/>
      <c r="E738" s="140"/>
      <c r="H738" s="141"/>
      <c r="R738" s="142"/>
      <c r="S738" s="142"/>
      <c r="U738" s="5"/>
      <c r="W738" s="143"/>
      <c r="X738" s="143"/>
    </row>
    <row r="739">
      <c r="B739" s="139"/>
      <c r="D739" s="5"/>
      <c r="E739" s="140"/>
      <c r="H739" s="141"/>
      <c r="R739" s="142"/>
      <c r="S739" s="142"/>
      <c r="U739" s="5"/>
      <c r="W739" s="143"/>
      <c r="X739" s="143"/>
    </row>
    <row r="740">
      <c r="B740" s="139"/>
      <c r="D740" s="5"/>
      <c r="E740" s="140"/>
      <c r="H740" s="141"/>
      <c r="R740" s="142"/>
      <c r="S740" s="142"/>
      <c r="U740" s="5"/>
      <c r="W740" s="143"/>
      <c r="X740" s="143"/>
    </row>
    <row r="741">
      <c r="B741" s="139"/>
      <c r="D741" s="5"/>
      <c r="E741" s="140"/>
      <c r="H741" s="141"/>
      <c r="R741" s="142"/>
      <c r="S741" s="142"/>
      <c r="U741" s="5"/>
      <c r="W741" s="143"/>
      <c r="X741" s="143"/>
    </row>
    <row r="742">
      <c r="B742" s="139"/>
      <c r="D742" s="5"/>
      <c r="E742" s="140"/>
      <c r="H742" s="141"/>
      <c r="R742" s="142"/>
      <c r="S742" s="142"/>
      <c r="U742" s="5"/>
      <c r="W742" s="143"/>
      <c r="X742" s="143"/>
    </row>
    <row r="743">
      <c r="B743" s="139"/>
      <c r="D743" s="5"/>
      <c r="E743" s="140"/>
      <c r="H743" s="141"/>
      <c r="R743" s="142"/>
      <c r="S743" s="142"/>
      <c r="U743" s="5"/>
      <c r="W743" s="143"/>
      <c r="X743" s="143"/>
    </row>
    <row r="744">
      <c r="B744" s="139"/>
      <c r="D744" s="5"/>
      <c r="E744" s="140"/>
      <c r="H744" s="141"/>
      <c r="R744" s="142"/>
      <c r="S744" s="142"/>
      <c r="U744" s="5"/>
      <c r="W744" s="143"/>
      <c r="X744" s="143"/>
    </row>
    <row r="745">
      <c r="B745" s="139"/>
      <c r="D745" s="5"/>
      <c r="E745" s="140"/>
      <c r="H745" s="141"/>
      <c r="R745" s="142"/>
      <c r="S745" s="142"/>
      <c r="U745" s="5"/>
      <c r="W745" s="143"/>
      <c r="X745" s="143"/>
    </row>
    <row r="746">
      <c r="B746" s="139"/>
      <c r="D746" s="5"/>
      <c r="E746" s="140"/>
      <c r="H746" s="141"/>
      <c r="R746" s="142"/>
      <c r="S746" s="142"/>
      <c r="U746" s="5"/>
      <c r="W746" s="143"/>
      <c r="X746" s="143"/>
    </row>
    <row r="747">
      <c r="B747" s="139"/>
      <c r="D747" s="5"/>
      <c r="E747" s="140"/>
      <c r="H747" s="141"/>
      <c r="R747" s="142"/>
      <c r="S747" s="142"/>
      <c r="U747" s="5"/>
      <c r="W747" s="143"/>
      <c r="X747" s="143"/>
    </row>
    <row r="748">
      <c r="B748" s="139"/>
      <c r="D748" s="5"/>
      <c r="E748" s="140"/>
      <c r="H748" s="141"/>
      <c r="R748" s="142"/>
      <c r="S748" s="142"/>
      <c r="U748" s="5"/>
      <c r="W748" s="143"/>
      <c r="X748" s="143"/>
    </row>
    <row r="749">
      <c r="B749" s="139"/>
      <c r="D749" s="5"/>
      <c r="E749" s="140"/>
      <c r="H749" s="141"/>
      <c r="R749" s="142"/>
      <c r="S749" s="142"/>
      <c r="U749" s="5"/>
      <c r="W749" s="143"/>
      <c r="X749" s="143"/>
    </row>
    <row r="750">
      <c r="B750" s="139"/>
      <c r="D750" s="5"/>
      <c r="E750" s="140"/>
      <c r="H750" s="141"/>
      <c r="R750" s="142"/>
      <c r="S750" s="142"/>
      <c r="U750" s="5"/>
      <c r="W750" s="143"/>
      <c r="X750" s="143"/>
    </row>
    <row r="751">
      <c r="B751" s="139"/>
      <c r="D751" s="5"/>
      <c r="E751" s="140"/>
      <c r="H751" s="141"/>
      <c r="R751" s="142"/>
      <c r="S751" s="142"/>
      <c r="U751" s="5"/>
      <c r="W751" s="143"/>
      <c r="X751" s="143"/>
    </row>
    <row r="752">
      <c r="B752" s="139"/>
      <c r="D752" s="5"/>
      <c r="E752" s="140"/>
      <c r="H752" s="141"/>
      <c r="R752" s="142"/>
      <c r="S752" s="142"/>
      <c r="U752" s="5"/>
      <c r="W752" s="143"/>
      <c r="X752" s="143"/>
    </row>
    <row r="753">
      <c r="B753" s="139"/>
      <c r="D753" s="5"/>
      <c r="E753" s="140"/>
      <c r="H753" s="141"/>
      <c r="R753" s="142"/>
      <c r="S753" s="142"/>
      <c r="U753" s="5"/>
      <c r="W753" s="143"/>
      <c r="X753" s="143"/>
    </row>
    <row r="754">
      <c r="B754" s="139"/>
      <c r="D754" s="5"/>
      <c r="E754" s="140"/>
      <c r="H754" s="141"/>
      <c r="R754" s="142"/>
      <c r="S754" s="142"/>
      <c r="U754" s="5"/>
      <c r="W754" s="143"/>
      <c r="X754" s="143"/>
    </row>
    <row r="755">
      <c r="B755" s="139"/>
      <c r="D755" s="5"/>
      <c r="E755" s="140"/>
      <c r="H755" s="141"/>
      <c r="R755" s="142"/>
      <c r="S755" s="142"/>
      <c r="U755" s="5"/>
      <c r="W755" s="143"/>
      <c r="X755" s="143"/>
    </row>
    <row r="756">
      <c r="B756" s="139"/>
      <c r="D756" s="5"/>
      <c r="E756" s="140"/>
      <c r="H756" s="141"/>
      <c r="R756" s="142"/>
      <c r="S756" s="142"/>
      <c r="U756" s="5"/>
      <c r="W756" s="143"/>
      <c r="X756" s="143"/>
    </row>
    <row r="757">
      <c r="B757" s="139"/>
      <c r="D757" s="5"/>
      <c r="E757" s="140"/>
      <c r="H757" s="141"/>
      <c r="R757" s="142"/>
      <c r="S757" s="142"/>
      <c r="U757" s="5"/>
      <c r="W757" s="143"/>
      <c r="X757" s="143"/>
    </row>
    <row r="758">
      <c r="B758" s="139"/>
      <c r="D758" s="5"/>
      <c r="E758" s="140"/>
      <c r="H758" s="141"/>
      <c r="R758" s="142"/>
      <c r="S758" s="142"/>
      <c r="U758" s="5"/>
      <c r="W758" s="143"/>
      <c r="X758" s="143"/>
    </row>
    <row r="759">
      <c r="B759" s="139"/>
      <c r="D759" s="5"/>
      <c r="E759" s="140"/>
      <c r="H759" s="141"/>
      <c r="R759" s="142"/>
      <c r="S759" s="142"/>
      <c r="U759" s="5"/>
      <c r="W759" s="143"/>
      <c r="X759" s="143"/>
    </row>
    <row r="760">
      <c r="B760" s="139"/>
      <c r="D760" s="5"/>
      <c r="E760" s="140"/>
      <c r="H760" s="141"/>
      <c r="R760" s="142"/>
      <c r="S760" s="142"/>
      <c r="U760" s="5"/>
      <c r="W760" s="143"/>
      <c r="X760" s="143"/>
    </row>
    <row r="761">
      <c r="B761" s="139"/>
      <c r="D761" s="5"/>
      <c r="E761" s="140"/>
      <c r="H761" s="141"/>
      <c r="R761" s="142"/>
      <c r="S761" s="142"/>
      <c r="U761" s="5"/>
      <c r="W761" s="143"/>
      <c r="X761" s="143"/>
    </row>
    <row r="762">
      <c r="B762" s="139"/>
      <c r="D762" s="5"/>
      <c r="E762" s="140"/>
      <c r="H762" s="141"/>
      <c r="R762" s="142"/>
      <c r="S762" s="142"/>
      <c r="U762" s="5"/>
      <c r="W762" s="143"/>
      <c r="X762" s="143"/>
    </row>
    <row r="763">
      <c r="B763" s="139"/>
      <c r="D763" s="5"/>
      <c r="E763" s="140"/>
      <c r="H763" s="141"/>
      <c r="R763" s="142"/>
      <c r="S763" s="142"/>
      <c r="U763" s="5"/>
      <c r="W763" s="143"/>
      <c r="X763" s="143"/>
    </row>
    <row r="764">
      <c r="B764" s="139"/>
      <c r="D764" s="5"/>
      <c r="E764" s="140"/>
      <c r="H764" s="141"/>
      <c r="R764" s="142"/>
      <c r="S764" s="142"/>
      <c r="U764" s="5"/>
      <c r="W764" s="143"/>
      <c r="X764" s="143"/>
    </row>
    <row r="765">
      <c r="B765" s="139"/>
      <c r="D765" s="5"/>
      <c r="E765" s="140"/>
      <c r="H765" s="141"/>
      <c r="R765" s="142"/>
      <c r="S765" s="142"/>
      <c r="U765" s="5"/>
      <c r="W765" s="143"/>
      <c r="X765" s="143"/>
    </row>
    <row r="766">
      <c r="B766" s="139"/>
      <c r="D766" s="5"/>
      <c r="E766" s="140"/>
      <c r="H766" s="141"/>
      <c r="R766" s="142"/>
      <c r="S766" s="142"/>
      <c r="U766" s="5"/>
      <c r="W766" s="143"/>
      <c r="X766" s="143"/>
    </row>
    <row r="767">
      <c r="B767" s="139"/>
      <c r="D767" s="5"/>
      <c r="E767" s="140"/>
      <c r="H767" s="141"/>
      <c r="R767" s="142"/>
      <c r="S767" s="142"/>
      <c r="U767" s="5"/>
      <c r="W767" s="143"/>
      <c r="X767" s="143"/>
    </row>
    <row r="768">
      <c r="B768" s="139"/>
      <c r="D768" s="5"/>
      <c r="E768" s="140"/>
      <c r="H768" s="141"/>
      <c r="R768" s="142"/>
      <c r="S768" s="142"/>
      <c r="U768" s="5"/>
      <c r="W768" s="143"/>
      <c r="X768" s="143"/>
    </row>
    <row r="769">
      <c r="B769" s="139"/>
      <c r="D769" s="5"/>
      <c r="E769" s="140"/>
      <c r="H769" s="141"/>
      <c r="R769" s="142"/>
      <c r="S769" s="142"/>
      <c r="U769" s="5"/>
      <c r="W769" s="143"/>
      <c r="X769" s="143"/>
    </row>
    <row r="770">
      <c r="B770" s="139"/>
      <c r="D770" s="5"/>
      <c r="E770" s="140"/>
      <c r="H770" s="141"/>
      <c r="R770" s="142"/>
      <c r="S770" s="142"/>
      <c r="U770" s="5"/>
      <c r="W770" s="143"/>
      <c r="X770" s="143"/>
    </row>
    <row r="771">
      <c r="B771" s="139"/>
      <c r="D771" s="5"/>
      <c r="E771" s="140"/>
      <c r="H771" s="141"/>
      <c r="R771" s="142"/>
      <c r="S771" s="142"/>
      <c r="U771" s="5"/>
      <c r="W771" s="143"/>
      <c r="X771" s="143"/>
    </row>
    <row r="772">
      <c r="B772" s="139"/>
      <c r="D772" s="5"/>
      <c r="E772" s="140"/>
      <c r="H772" s="141"/>
      <c r="R772" s="142"/>
      <c r="S772" s="142"/>
      <c r="U772" s="5"/>
      <c r="W772" s="143"/>
      <c r="X772" s="143"/>
    </row>
    <row r="773">
      <c r="B773" s="139"/>
      <c r="D773" s="5"/>
      <c r="E773" s="140"/>
      <c r="H773" s="141"/>
      <c r="R773" s="142"/>
      <c r="S773" s="142"/>
      <c r="U773" s="5"/>
      <c r="W773" s="143"/>
      <c r="X773" s="143"/>
    </row>
    <row r="774">
      <c r="B774" s="139"/>
      <c r="D774" s="5"/>
      <c r="E774" s="140"/>
      <c r="H774" s="141"/>
      <c r="R774" s="142"/>
      <c r="S774" s="142"/>
      <c r="U774" s="5"/>
      <c r="W774" s="143"/>
      <c r="X774" s="143"/>
    </row>
    <row r="775">
      <c r="B775" s="139"/>
      <c r="D775" s="5"/>
      <c r="E775" s="140"/>
      <c r="H775" s="141"/>
      <c r="R775" s="142"/>
      <c r="S775" s="142"/>
      <c r="U775" s="5"/>
      <c r="W775" s="143"/>
      <c r="X775" s="143"/>
    </row>
    <row r="776">
      <c r="B776" s="139"/>
      <c r="D776" s="5"/>
      <c r="E776" s="140"/>
      <c r="H776" s="141"/>
      <c r="R776" s="142"/>
      <c r="S776" s="142"/>
      <c r="U776" s="5"/>
      <c r="W776" s="143"/>
      <c r="X776" s="143"/>
    </row>
    <row r="777">
      <c r="B777" s="139"/>
      <c r="D777" s="5"/>
      <c r="E777" s="140"/>
      <c r="H777" s="141"/>
      <c r="R777" s="142"/>
      <c r="S777" s="142"/>
      <c r="U777" s="5"/>
      <c r="W777" s="143"/>
      <c r="X777" s="143"/>
    </row>
    <row r="778">
      <c r="B778" s="139"/>
      <c r="D778" s="5"/>
      <c r="E778" s="140"/>
      <c r="H778" s="141"/>
      <c r="R778" s="142"/>
      <c r="S778" s="142"/>
      <c r="U778" s="5"/>
      <c r="W778" s="143"/>
      <c r="X778" s="143"/>
    </row>
    <row r="779">
      <c r="B779" s="139"/>
      <c r="D779" s="5"/>
      <c r="E779" s="140"/>
      <c r="H779" s="141"/>
      <c r="R779" s="142"/>
      <c r="S779" s="142"/>
      <c r="U779" s="5"/>
      <c r="W779" s="143"/>
      <c r="X779" s="143"/>
    </row>
    <row r="780">
      <c r="B780" s="139"/>
      <c r="D780" s="5"/>
      <c r="E780" s="140"/>
      <c r="H780" s="141"/>
      <c r="R780" s="142"/>
      <c r="S780" s="142"/>
      <c r="U780" s="5"/>
      <c r="W780" s="143"/>
      <c r="X780" s="143"/>
    </row>
    <row r="781">
      <c r="B781" s="139"/>
      <c r="D781" s="5"/>
      <c r="E781" s="140"/>
      <c r="H781" s="141"/>
      <c r="R781" s="142"/>
      <c r="S781" s="142"/>
      <c r="U781" s="5"/>
      <c r="W781" s="143"/>
      <c r="X781" s="143"/>
    </row>
    <row r="782">
      <c r="B782" s="139"/>
      <c r="D782" s="5"/>
      <c r="E782" s="140"/>
      <c r="H782" s="141"/>
      <c r="R782" s="142"/>
      <c r="S782" s="142"/>
      <c r="U782" s="5"/>
      <c r="W782" s="143"/>
      <c r="X782" s="143"/>
    </row>
    <row r="783">
      <c r="B783" s="139"/>
      <c r="D783" s="5"/>
      <c r="E783" s="140"/>
      <c r="H783" s="141"/>
      <c r="R783" s="142"/>
      <c r="S783" s="142"/>
      <c r="U783" s="5"/>
      <c r="W783" s="143"/>
      <c r="X783" s="143"/>
    </row>
    <row r="784">
      <c r="B784" s="139"/>
      <c r="D784" s="5"/>
      <c r="E784" s="140"/>
      <c r="H784" s="141"/>
      <c r="R784" s="142"/>
      <c r="S784" s="142"/>
      <c r="U784" s="5"/>
      <c r="W784" s="143"/>
      <c r="X784" s="143"/>
    </row>
    <row r="785">
      <c r="B785" s="139"/>
      <c r="D785" s="5"/>
      <c r="E785" s="140"/>
      <c r="H785" s="141"/>
      <c r="R785" s="142"/>
      <c r="S785" s="142"/>
      <c r="U785" s="5"/>
      <c r="W785" s="143"/>
      <c r="X785" s="143"/>
    </row>
    <row r="786">
      <c r="B786" s="139"/>
      <c r="D786" s="5"/>
      <c r="E786" s="140"/>
      <c r="H786" s="141"/>
      <c r="R786" s="142"/>
      <c r="S786" s="142"/>
      <c r="U786" s="5"/>
      <c r="W786" s="143"/>
      <c r="X786" s="143"/>
    </row>
    <row r="787">
      <c r="B787" s="139"/>
      <c r="D787" s="5"/>
      <c r="E787" s="140"/>
      <c r="H787" s="141"/>
      <c r="R787" s="142"/>
      <c r="S787" s="142"/>
      <c r="U787" s="5"/>
      <c r="W787" s="143"/>
      <c r="X787" s="143"/>
    </row>
    <row r="788">
      <c r="B788" s="139"/>
      <c r="D788" s="5"/>
      <c r="E788" s="140"/>
      <c r="H788" s="141"/>
      <c r="R788" s="142"/>
      <c r="S788" s="142"/>
      <c r="U788" s="5"/>
      <c r="W788" s="143"/>
      <c r="X788" s="143"/>
    </row>
    <row r="789">
      <c r="B789" s="139"/>
      <c r="D789" s="5"/>
      <c r="E789" s="140"/>
      <c r="H789" s="141"/>
      <c r="R789" s="142"/>
      <c r="S789" s="142"/>
      <c r="U789" s="5"/>
      <c r="W789" s="143"/>
      <c r="X789" s="143"/>
    </row>
    <row r="790">
      <c r="B790" s="139"/>
      <c r="D790" s="5"/>
      <c r="E790" s="140"/>
      <c r="H790" s="141"/>
      <c r="R790" s="142"/>
      <c r="S790" s="142"/>
      <c r="U790" s="5"/>
      <c r="W790" s="143"/>
      <c r="X790" s="143"/>
    </row>
    <row r="791">
      <c r="B791" s="139"/>
      <c r="D791" s="5"/>
      <c r="E791" s="140"/>
      <c r="H791" s="141"/>
      <c r="R791" s="142"/>
      <c r="S791" s="142"/>
      <c r="U791" s="5"/>
      <c r="W791" s="143"/>
      <c r="X791" s="143"/>
    </row>
    <row r="792">
      <c r="B792" s="139"/>
      <c r="D792" s="5"/>
      <c r="E792" s="140"/>
      <c r="H792" s="141"/>
      <c r="R792" s="142"/>
      <c r="S792" s="142"/>
      <c r="U792" s="5"/>
      <c r="W792" s="143"/>
      <c r="X792" s="143"/>
    </row>
    <row r="793">
      <c r="B793" s="139"/>
      <c r="D793" s="5"/>
      <c r="E793" s="140"/>
      <c r="H793" s="141"/>
      <c r="R793" s="142"/>
      <c r="S793" s="142"/>
      <c r="U793" s="5"/>
      <c r="W793" s="143"/>
      <c r="X793" s="143"/>
    </row>
    <row r="794">
      <c r="B794" s="139"/>
      <c r="D794" s="5"/>
      <c r="E794" s="140"/>
      <c r="H794" s="141"/>
      <c r="R794" s="142"/>
      <c r="S794" s="142"/>
      <c r="U794" s="5"/>
      <c r="W794" s="143"/>
      <c r="X794" s="143"/>
    </row>
    <row r="795">
      <c r="B795" s="139"/>
      <c r="D795" s="5"/>
      <c r="E795" s="140"/>
      <c r="H795" s="141"/>
      <c r="R795" s="142"/>
      <c r="S795" s="142"/>
      <c r="U795" s="5"/>
      <c r="W795" s="143"/>
      <c r="X795" s="143"/>
    </row>
    <row r="796">
      <c r="B796" s="139"/>
      <c r="D796" s="5"/>
      <c r="E796" s="140"/>
      <c r="H796" s="141"/>
      <c r="R796" s="142"/>
      <c r="S796" s="142"/>
      <c r="U796" s="5"/>
      <c r="W796" s="143"/>
      <c r="X796" s="143"/>
    </row>
    <row r="797">
      <c r="B797" s="139"/>
      <c r="D797" s="5"/>
      <c r="E797" s="140"/>
      <c r="H797" s="141"/>
      <c r="R797" s="142"/>
      <c r="S797" s="142"/>
      <c r="U797" s="5"/>
      <c r="W797" s="143"/>
      <c r="X797" s="143"/>
    </row>
    <row r="798">
      <c r="B798" s="139"/>
      <c r="D798" s="5"/>
      <c r="E798" s="140"/>
      <c r="H798" s="141"/>
      <c r="R798" s="142"/>
      <c r="S798" s="142"/>
      <c r="U798" s="5"/>
      <c r="W798" s="143"/>
      <c r="X798" s="143"/>
    </row>
    <row r="799">
      <c r="B799" s="139"/>
      <c r="D799" s="5"/>
      <c r="E799" s="140"/>
      <c r="H799" s="141"/>
      <c r="R799" s="142"/>
      <c r="S799" s="142"/>
      <c r="U799" s="5"/>
      <c r="W799" s="143"/>
      <c r="X799" s="143"/>
    </row>
    <row r="800">
      <c r="B800" s="139"/>
      <c r="D800" s="5"/>
      <c r="E800" s="140"/>
      <c r="H800" s="141"/>
      <c r="R800" s="142"/>
      <c r="S800" s="142"/>
      <c r="U800" s="5"/>
      <c r="W800" s="143"/>
      <c r="X800" s="143"/>
    </row>
    <row r="801">
      <c r="B801" s="139"/>
      <c r="D801" s="5"/>
      <c r="E801" s="140"/>
      <c r="H801" s="141"/>
      <c r="R801" s="142"/>
      <c r="S801" s="142"/>
      <c r="U801" s="5"/>
      <c r="W801" s="143"/>
      <c r="X801" s="143"/>
    </row>
    <row r="802">
      <c r="B802" s="139"/>
      <c r="D802" s="5"/>
      <c r="E802" s="140"/>
      <c r="H802" s="141"/>
      <c r="R802" s="142"/>
      <c r="S802" s="142"/>
      <c r="U802" s="5"/>
      <c r="W802" s="143"/>
      <c r="X802" s="143"/>
    </row>
    <row r="803">
      <c r="B803" s="139"/>
      <c r="D803" s="5"/>
      <c r="E803" s="140"/>
      <c r="H803" s="141"/>
      <c r="R803" s="142"/>
      <c r="S803" s="142"/>
      <c r="U803" s="5"/>
      <c r="W803" s="143"/>
      <c r="X803" s="143"/>
    </row>
    <row r="804">
      <c r="B804" s="139"/>
      <c r="D804" s="5"/>
      <c r="E804" s="140"/>
      <c r="H804" s="141"/>
      <c r="R804" s="142"/>
      <c r="S804" s="142"/>
      <c r="U804" s="5"/>
      <c r="W804" s="143"/>
      <c r="X804" s="143"/>
    </row>
    <row r="805">
      <c r="B805" s="139"/>
      <c r="D805" s="5"/>
      <c r="E805" s="140"/>
      <c r="H805" s="141"/>
      <c r="R805" s="142"/>
      <c r="S805" s="142"/>
      <c r="U805" s="5"/>
      <c r="W805" s="143"/>
      <c r="X805" s="143"/>
    </row>
    <row r="806">
      <c r="B806" s="139"/>
      <c r="D806" s="5"/>
      <c r="E806" s="140"/>
      <c r="H806" s="141"/>
      <c r="R806" s="142"/>
      <c r="S806" s="142"/>
      <c r="U806" s="5"/>
      <c r="W806" s="143"/>
      <c r="X806" s="143"/>
    </row>
    <row r="807">
      <c r="B807" s="139"/>
      <c r="D807" s="5"/>
      <c r="E807" s="140"/>
      <c r="H807" s="141"/>
      <c r="R807" s="142"/>
      <c r="S807" s="142"/>
      <c r="U807" s="5"/>
      <c r="W807" s="143"/>
      <c r="X807" s="143"/>
    </row>
    <row r="808">
      <c r="B808" s="139"/>
      <c r="D808" s="5"/>
      <c r="E808" s="140"/>
      <c r="H808" s="141"/>
      <c r="R808" s="142"/>
      <c r="S808" s="142"/>
      <c r="U808" s="5"/>
      <c r="W808" s="143"/>
      <c r="X808" s="143"/>
    </row>
    <row r="809">
      <c r="B809" s="139"/>
      <c r="D809" s="5"/>
      <c r="E809" s="140"/>
      <c r="H809" s="141"/>
      <c r="R809" s="142"/>
      <c r="S809" s="142"/>
      <c r="U809" s="5"/>
      <c r="W809" s="143"/>
      <c r="X809" s="143"/>
    </row>
    <row r="810">
      <c r="B810" s="139"/>
      <c r="D810" s="5"/>
      <c r="E810" s="140"/>
      <c r="H810" s="141"/>
      <c r="R810" s="142"/>
      <c r="S810" s="142"/>
      <c r="U810" s="5"/>
      <c r="W810" s="143"/>
      <c r="X810" s="143"/>
    </row>
    <row r="811">
      <c r="B811" s="139"/>
      <c r="D811" s="5"/>
      <c r="E811" s="140"/>
      <c r="H811" s="141"/>
      <c r="R811" s="142"/>
      <c r="S811" s="142"/>
      <c r="U811" s="5"/>
      <c r="W811" s="143"/>
      <c r="X811" s="143"/>
    </row>
    <row r="812">
      <c r="B812" s="139"/>
      <c r="D812" s="5"/>
      <c r="E812" s="140"/>
      <c r="H812" s="141"/>
      <c r="R812" s="142"/>
      <c r="S812" s="142"/>
      <c r="U812" s="5"/>
      <c r="W812" s="143"/>
      <c r="X812" s="143"/>
    </row>
    <row r="813">
      <c r="B813" s="139"/>
      <c r="D813" s="5"/>
      <c r="E813" s="140"/>
      <c r="H813" s="141"/>
      <c r="R813" s="142"/>
      <c r="S813" s="142"/>
      <c r="U813" s="5"/>
      <c r="W813" s="143"/>
      <c r="X813" s="143"/>
    </row>
    <row r="814">
      <c r="B814" s="139"/>
      <c r="D814" s="5"/>
      <c r="E814" s="140"/>
      <c r="H814" s="141"/>
      <c r="R814" s="142"/>
      <c r="S814" s="142"/>
      <c r="U814" s="5"/>
      <c r="W814" s="143"/>
      <c r="X814" s="143"/>
    </row>
    <row r="815">
      <c r="B815" s="139"/>
      <c r="D815" s="5"/>
      <c r="E815" s="140"/>
      <c r="H815" s="141"/>
      <c r="R815" s="142"/>
      <c r="S815" s="142"/>
      <c r="U815" s="5"/>
      <c r="W815" s="143"/>
      <c r="X815" s="143"/>
    </row>
    <row r="816">
      <c r="B816" s="139"/>
      <c r="D816" s="5"/>
      <c r="E816" s="140"/>
      <c r="H816" s="141"/>
      <c r="R816" s="142"/>
      <c r="S816" s="142"/>
      <c r="U816" s="5"/>
      <c r="W816" s="143"/>
      <c r="X816" s="143"/>
    </row>
    <row r="817">
      <c r="B817" s="139"/>
      <c r="D817" s="5"/>
      <c r="E817" s="140"/>
      <c r="H817" s="141"/>
      <c r="R817" s="142"/>
      <c r="S817" s="142"/>
      <c r="U817" s="5"/>
      <c r="W817" s="143"/>
      <c r="X817" s="143"/>
    </row>
    <row r="818">
      <c r="B818" s="139"/>
      <c r="D818" s="5"/>
      <c r="E818" s="140"/>
      <c r="H818" s="141"/>
      <c r="R818" s="142"/>
      <c r="S818" s="142"/>
      <c r="U818" s="5"/>
      <c r="W818" s="143"/>
      <c r="X818" s="143"/>
    </row>
    <row r="819">
      <c r="B819" s="139"/>
      <c r="D819" s="5"/>
      <c r="E819" s="140"/>
      <c r="H819" s="141"/>
      <c r="R819" s="142"/>
      <c r="S819" s="142"/>
      <c r="U819" s="5"/>
      <c r="W819" s="143"/>
      <c r="X819" s="143"/>
    </row>
    <row r="820">
      <c r="B820" s="139"/>
      <c r="D820" s="5"/>
      <c r="E820" s="140"/>
      <c r="H820" s="141"/>
      <c r="R820" s="142"/>
      <c r="S820" s="142"/>
      <c r="U820" s="5"/>
      <c r="W820" s="143"/>
      <c r="X820" s="143"/>
    </row>
    <row r="821">
      <c r="B821" s="139"/>
      <c r="D821" s="5"/>
      <c r="E821" s="140"/>
      <c r="H821" s="141"/>
      <c r="R821" s="142"/>
      <c r="S821" s="142"/>
      <c r="U821" s="5"/>
      <c r="W821" s="143"/>
      <c r="X821" s="143"/>
    </row>
    <row r="822">
      <c r="B822" s="139"/>
      <c r="D822" s="5"/>
      <c r="E822" s="140"/>
      <c r="H822" s="141"/>
      <c r="R822" s="142"/>
      <c r="S822" s="142"/>
      <c r="U822" s="5"/>
      <c r="W822" s="143"/>
      <c r="X822" s="143"/>
    </row>
    <row r="823">
      <c r="B823" s="139"/>
      <c r="D823" s="5"/>
      <c r="E823" s="140"/>
      <c r="H823" s="141"/>
      <c r="R823" s="142"/>
      <c r="S823" s="142"/>
      <c r="U823" s="5"/>
      <c r="W823" s="143"/>
      <c r="X823" s="143"/>
    </row>
    <row r="824">
      <c r="B824" s="139"/>
      <c r="D824" s="5"/>
      <c r="E824" s="140"/>
      <c r="H824" s="141"/>
      <c r="R824" s="142"/>
      <c r="S824" s="142"/>
      <c r="U824" s="5"/>
      <c r="W824" s="143"/>
      <c r="X824" s="143"/>
    </row>
    <row r="825">
      <c r="B825" s="139"/>
      <c r="D825" s="5"/>
      <c r="E825" s="140"/>
      <c r="H825" s="141"/>
      <c r="R825" s="142"/>
      <c r="S825" s="142"/>
      <c r="U825" s="5"/>
      <c r="W825" s="143"/>
      <c r="X825" s="143"/>
    </row>
    <row r="826">
      <c r="B826" s="139"/>
      <c r="D826" s="5"/>
      <c r="E826" s="140"/>
      <c r="H826" s="141"/>
      <c r="R826" s="142"/>
      <c r="S826" s="142"/>
      <c r="U826" s="5"/>
      <c r="W826" s="143"/>
      <c r="X826" s="143"/>
    </row>
    <row r="827">
      <c r="B827" s="139"/>
      <c r="D827" s="5"/>
      <c r="E827" s="140"/>
      <c r="H827" s="141"/>
      <c r="R827" s="142"/>
      <c r="S827" s="142"/>
      <c r="U827" s="5"/>
      <c r="W827" s="143"/>
      <c r="X827" s="143"/>
    </row>
    <row r="828">
      <c r="B828" s="139"/>
      <c r="D828" s="5"/>
      <c r="E828" s="140"/>
      <c r="H828" s="141"/>
      <c r="R828" s="142"/>
      <c r="S828" s="142"/>
      <c r="U828" s="5"/>
      <c r="W828" s="143"/>
      <c r="X828" s="143"/>
    </row>
    <row r="829">
      <c r="B829" s="139"/>
      <c r="D829" s="5"/>
      <c r="E829" s="140"/>
      <c r="H829" s="141"/>
      <c r="R829" s="142"/>
      <c r="S829" s="142"/>
      <c r="U829" s="5"/>
      <c r="W829" s="143"/>
      <c r="X829" s="143"/>
    </row>
    <row r="830">
      <c r="B830" s="139"/>
      <c r="D830" s="5"/>
      <c r="E830" s="140"/>
      <c r="H830" s="141"/>
      <c r="R830" s="142"/>
      <c r="S830" s="142"/>
      <c r="U830" s="5"/>
      <c r="W830" s="143"/>
      <c r="X830" s="143"/>
    </row>
    <row r="831">
      <c r="B831" s="139"/>
      <c r="D831" s="5"/>
      <c r="E831" s="140"/>
      <c r="H831" s="141"/>
      <c r="R831" s="142"/>
      <c r="S831" s="142"/>
      <c r="U831" s="5"/>
      <c r="W831" s="143"/>
      <c r="X831" s="143"/>
    </row>
    <row r="832">
      <c r="B832" s="139"/>
      <c r="D832" s="5"/>
      <c r="E832" s="140"/>
      <c r="H832" s="141"/>
      <c r="R832" s="142"/>
      <c r="S832" s="142"/>
      <c r="U832" s="5"/>
      <c r="W832" s="143"/>
      <c r="X832" s="143"/>
    </row>
    <row r="833">
      <c r="B833" s="139"/>
      <c r="D833" s="5"/>
      <c r="E833" s="140"/>
      <c r="H833" s="141"/>
      <c r="R833" s="142"/>
      <c r="S833" s="142"/>
      <c r="U833" s="5"/>
      <c r="W833" s="143"/>
      <c r="X833" s="143"/>
    </row>
    <row r="834">
      <c r="B834" s="139"/>
      <c r="D834" s="5"/>
      <c r="E834" s="140"/>
      <c r="H834" s="141"/>
      <c r="R834" s="142"/>
      <c r="S834" s="142"/>
      <c r="U834" s="5"/>
      <c r="W834" s="143"/>
      <c r="X834" s="143"/>
    </row>
    <row r="835">
      <c r="B835" s="139"/>
      <c r="D835" s="5"/>
      <c r="E835" s="140"/>
      <c r="H835" s="141"/>
      <c r="R835" s="142"/>
      <c r="S835" s="142"/>
      <c r="U835" s="5"/>
      <c r="W835" s="143"/>
      <c r="X835" s="143"/>
    </row>
    <row r="836">
      <c r="B836" s="139"/>
      <c r="D836" s="5"/>
      <c r="E836" s="140"/>
      <c r="H836" s="141"/>
      <c r="R836" s="142"/>
      <c r="S836" s="142"/>
      <c r="U836" s="5"/>
      <c r="W836" s="143"/>
      <c r="X836" s="143"/>
    </row>
    <row r="837">
      <c r="B837" s="139"/>
      <c r="D837" s="5"/>
      <c r="E837" s="140"/>
      <c r="H837" s="141"/>
      <c r="R837" s="142"/>
      <c r="S837" s="142"/>
      <c r="U837" s="5"/>
      <c r="W837" s="143"/>
      <c r="X837" s="143"/>
    </row>
    <row r="838">
      <c r="B838" s="139"/>
      <c r="D838" s="5"/>
      <c r="E838" s="140"/>
      <c r="H838" s="141"/>
      <c r="R838" s="142"/>
      <c r="S838" s="142"/>
      <c r="U838" s="5"/>
      <c r="W838" s="143"/>
      <c r="X838" s="143"/>
    </row>
    <row r="839">
      <c r="B839" s="139"/>
      <c r="D839" s="5"/>
      <c r="E839" s="140"/>
      <c r="H839" s="141"/>
      <c r="R839" s="142"/>
      <c r="S839" s="142"/>
      <c r="U839" s="5"/>
      <c r="W839" s="143"/>
      <c r="X839" s="143"/>
    </row>
    <row r="840">
      <c r="B840" s="139"/>
      <c r="D840" s="5"/>
      <c r="E840" s="140"/>
      <c r="H840" s="141"/>
      <c r="R840" s="142"/>
      <c r="S840" s="142"/>
      <c r="U840" s="5"/>
      <c r="W840" s="143"/>
      <c r="X840" s="143"/>
    </row>
    <row r="841">
      <c r="B841" s="139"/>
      <c r="D841" s="5"/>
      <c r="E841" s="140"/>
      <c r="H841" s="141"/>
      <c r="R841" s="142"/>
      <c r="S841" s="142"/>
      <c r="U841" s="5"/>
      <c r="W841" s="143"/>
      <c r="X841" s="143"/>
    </row>
    <row r="842">
      <c r="B842" s="139"/>
      <c r="D842" s="5"/>
      <c r="E842" s="140"/>
      <c r="H842" s="141"/>
      <c r="R842" s="142"/>
      <c r="S842" s="142"/>
      <c r="U842" s="5"/>
      <c r="W842" s="143"/>
      <c r="X842" s="143"/>
    </row>
    <row r="843">
      <c r="B843" s="139"/>
      <c r="D843" s="5"/>
      <c r="E843" s="140"/>
      <c r="H843" s="141"/>
      <c r="R843" s="142"/>
      <c r="S843" s="142"/>
      <c r="U843" s="5"/>
      <c r="W843" s="143"/>
      <c r="X843" s="143"/>
    </row>
    <row r="844">
      <c r="B844" s="139"/>
      <c r="D844" s="5"/>
      <c r="E844" s="140"/>
      <c r="H844" s="141"/>
      <c r="R844" s="142"/>
      <c r="S844" s="142"/>
      <c r="U844" s="5"/>
      <c r="W844" s="143"/>
      <c r="X844" s="143"/>
    </row>
    <row r="845">
      <c r="B845" s="139"/>
      <c r="D845" s="5"/>
      <c r="E845" s="140"/>
      <c r="H845" s="141"/>
      <c r="R845" s="142"/>
      <c r="S845" s="142"/>
      <c r="U845" s="5"/>
      <c r="W845" s="143"/>
      <c r="X845" s="143"/>
    </row>
    <row r="846">
      <c r="B846" s="139"/>
      <c r="D846" s="5"/>
      <c r="E846" s="140"/>
      <c r="H846" s="141"/>
      <c r="R846" s="142"/>
      <c r="S846" s="142"/>
      <c r="U846" s="5"/>
      <c r="W846" s="143"/>
      <c r="X846" s="143"/>
    </row>
    <row r="847">
      <c r="B847" s="139"/>
      <c r="D847" s="5"/>
      <c r="E847" s="140"/>
      <c r="H847" s="141"/>
      <c r="R847" s="142"/>
      <c r="S847" s="142"/>
      <c r="U847" s="5"/>
      <c r="W847" s="143"/>
      <c r="X847" s="143"/>
    </row>
    <row r="848">
      <c r="B848" s="139"/>
      <c r="D848" s="5"/>
      <c r="E848" s="140"/>
      <c r="H848" s="141"/>
      <c r="R848" s="142"/>
      <c r="S848" s="142"/>
      <c r="U848" s="5"/>
      <c r="W848" s="143"/>
      <c r="X848" s="143"/>
    </row>
    <row r="849">
      <c r="B849" s="139"/>
      <c r="D849" s="5"/>
      <c r="E849" s="140"/>
      <c r="H849" s="141"/>
      <c r="R849" s="142"/>
      <c r="S849" s="142"/>
      <c r="U849" s="5"/>
      <c r="W849" s="143"/>
      <c r="X849" s="143"/>
    </row>
    <row r="850">
      <c r="B850" s="139"/>
      <c r="D850" s="5"/>
      <c r="E850" s="140"/>
      <c r="H850" s="141"/>
      <c r="R850" s="142"/>
      <c r="S850" s="142"/>
      <c r="U850" s="5"/>
      <c r="W850" s="143"/>
      <c r="X850" s="143"/>
    </row>
    <row r="851">
      <c r="B851" s="139"/>
      <c r="D851" s="5"/>
      <c r="E851" s="140"/>
      <c r="H851" s="141"/>
      <c r="R851" s="142"/>
      <c r="S851" s="142"/>
      <c r="U851" s="5"/>
      <c r="W851" s="143"/>
      <c r="X851" s="143"/>
    </row>
    <row r="852">
      <c r="B852" s="139"/>
      <c r="D852" s="5"/>
      <c r="E852" s="140"/>
      <c r="H852" s="141"/>
      <c r="R852" s="142"/>
      <c r="S852" s="142"/>
      <c r="U852" s="5"/>
      <c r="W852" s="143"/>
      <c r="X852" s="143"/>
    </row>
    <row r="853">
      <c r="B853" s="139"/>
      <c r="D853" s="5"/>
      <c r="E853" s="140"/>
      <c r="H853" s="141"/>
      <c r="R853" s="142"/>
      <c r="S853" s="142"/>
      <c r="U853" s="5"/>
      <c r="W853" s="143"/>
      <c r="X853" s="143"/>
    </row>
    <row r="854">
      <c r="B854" s="139"/>
      <c r="D854" s="5"/>
      <c r="E854" s="140"/>
      <c r="H854" s="141"/>
      <c r="R854" s="142"/>
      <c r="S854" s="142"/>
      <c r="U854" s="5"/>
      <c r="W854" s="143"/>
      <c r="X854" s="143"/>
    </row>
    <row r="855">
      <c r="B855" s="139"/>
      <c r="D855" s="5"/>
      <c r="E855" s="140"/>
      <c r="H855" s="141"/>
      <c r="R855" s="142"/>
      <c r="S855" s="142"/>
      <c r="U855" s="5"/>
      <c r="W855" s="143"/>
      <c r="X855" s="143"/>
    </row>
    <row r="856">
      <c r="B856" s="139"/>
      <c r="D856" s="5"/>
      <c r="E856" s="140"/>
      <c r="H856" s="141"/>
      <c r="R856" s="142"/>
      <c r="S856" s="142"/>
      <c r="U856" s="5"/>
      <c r="W856" s="143"/>
      <c r="X856" s="143"/>
    </row>
    <row r="857">
      <c r="B857" s="139"/>
      <c r="D857" s="5"/>
      <c r="E857" s="140"/>
      <c r="H857" s="141"/>
      <c r="R857" s="142"/>
      <c r="S857" s="142"/>
      <c r="U857" s="5"/>
      <c r="W857" s="143"/>
      <c r="X857" s="143"/>
    </row>
    <row r="858">
      <c r="B858" s="139"/>
      <c r="D858" s="5"/>
      <c r="E858" s="140"/>
      <c r="H858" s="141"/>
      <c r="R858" s="142"/>
      <c r="S858" s="142"/>
      <c r="U858" s="5"/>
      <c r="W858" s="143"/>
      <c r="X858" s="143"/>
    </row>
    <row r="859">
      <c r="B859" s="139"/>
      <c r="D859" s="5"/>
      <c r="E859" s="140"/>
      <c r="H859" s="141"/>
      <c r="R859" s="142"/>
      <c r="S859" s="142"/>
      <c r="U859" s="5"/>
      <c r="W859" s="143"/>
      <c r="X859" s="143"/>
    </row>
    <row r="860">
      <c r="B860" s="139"/>
      <c r="D860" s="5"/>
      <c r="E860" s="140"/>
      <c r="H860" s="141"/>
      <c r="R860" s="142"/>
      <c r="S860" s="142"/>
      <c r="U860" s="5"/>
      <c r="W860" s="143"/>
      <c r="X860" s="143"/>
    </row>
    <row r="861">
      <c r="B861" s="139"/>
      <c r="D861" s="5"/>
      <c r="E861" s="140"/>
      <c r="H861" s="141"/>
      <c r="R861" s="142"/>
      <c r="S861" s="142"/>
      <c r="U861" s="5"/>
      <c r="W861" s="143"/>
      <c r="X861" s="143"/>
    </row>
    <row r="862">
      <c r="B862" s="139"/>
      <c r="D862" s="5"/>
      <c r="E862" s="140"/>
      <c r="H862" s="141"/>
      <c r="R862" s="142"/>
      <c r="S862" s="142"/>
      <c r="U862" s="5"/>
      <c r="W862" s="143"/>
      <c r="X862" s="143"/>
    </row>
    <row r="863">
      <c r="B863" s="139"/>
      <c r="D863" s="5"/>
      <c r="E863" s="140"/>
      <c r="H863" s="141"/>
      <c r="R863" s="142"/>
      <c r="S863" s="142"/>
      <c r="U863" s="5"/>
      <c r="W863" s="143"/>
      <c r="X863" s="143"/>
    </row>
    <row r="864">
      <c r="B864" s="139"/>
      <c r="D864" s="5"/>
      <c r="E864" s="140"/>
      <c r="H864" s="141"/>
      <c r="R864" s="142"/>
      <c r="S864" s="142"/>
      <c r="U864" s="5"/>
      <c r="W864" s="143"/>
      <c r="X864" s="143"/>
    </row>
    <row r="865">
      <c r="B865" s="139"/>
      <c r="D865" s="5"/>
      <c r="E865" s="140"/>
      <c r="H865" s="141"/>
      <c r="R865" s="142"/>
      <c r="S865" s="142"/>
      <c r="U865" s="5"/>
      <c r="W865" s="143"/>
      <c r="X865" s="143"/>
    </row>
    <row r="866">
      <c r="B866" s="139"/>
      <c r="D866" s="5"/>
      <c r="E866" s="140"/>
      <c r="H866" s="141"/>
      <c r="R866" s="142"/>
      <c r="S866" s="142"/>
      <c r="U866" s="5"/>
      <c r="W866" s="143"/>
      <c r="X866" s="143"/>
    </row>
    <row r="867">
      <c r="B867" s="139"/>
      <c r="D867" s="5"/>
      <c r="E867" s="140"/>
      <c r="H867" s="141"/>
      <c r="R867" s="142"/>
      <c r="S867" s="142"/>
      <c r="U867" s="5"/>
      <c r="W867" s="143"/>
      <c r="X867" s="143"/>
    </row>
    <row r="868">
      <c r="B868" s="139"/>
      <c r="D868" s="5"/>
      <c r="E868" s="140"/>
      <c r="H868" s="141"/>
      <c r="R868" s="142"/>
      <c r="S868" s="142"/>
      <c r="U868" s="5"/>
      <c r="W868" s="143"/>
      <c r="X868" s="143"/>
    </row>
    <row r="869">
      <c r="B869" s="139"/>
      <c r="D869" s="5"/>
      <c r="E869" s="140"/>
      <c r="H869" s="141"/>
      <c r="R869" s="142"/>
      <c r="S869" s="142"/>
      <c r="U869" s="5"/>
      <c r="W869" s="143"/>
      <c r="X869" s="143"/>
    </row>
    <row r="870">
      <c r="B870" s="139"/>
      <c r="D870" s="5"/>
      <c r="E870" s="140"/>
      <c r="H870" s="141"/>
      <c r="R870" s="142"/>
      <c r="S870" s="142"/>
      <c r="U870" s="5"/>
      <c r="W870" s="143"/>
      <c r="X870" s="143"/>
    </row>
    <row r="871">
      <c r="B871" s="139"/>
      <c r="D871" s="5"/>
      <c r="E871" s="140"/>
      <c r="H871" s="141"/>
      <c r="R871" s="142"/>
      <c r="S871" s="142"/>
      <c r="U871" s="5"/>
      <c r="W871" s="143"/>
      <c r="X871" s="143"/>
    </row>
    <row r="872">
      <c r="B872" s="139"/>
      <c r="D872" s="5"/>
      <c r="E872" s="140"/>
      <c r="H872" s="141"/>
      <c r="R872" s="142"/>
      <c r="S872" s="142"/>
      <c r="U872" s="5"/>
      <c r="W872" s="143"/>
      <c r="X872" s="143"/>
    </row>
    <row r="873">
      <c r="B873" s="139"/>
      <c r="D873" s="5"/>
      <c r="E873" s="140"/>
      <c r="H873" s="141"/>
      <c r="R873" s="142"/>
      <c r="S873" s="142"/>
      <c r="U873" s="5"/>
      <c r="W873" s="143"/>
      <c r="X873" s="143"/>
    </row>
    <row r="874">
      <c r="B874" s="139"/>
      <c r="D874" s="5"/>
      <c r="E874" s="140"/>
      <c r="H874" s="141"/>
      <c r="R874" s="142"/>
      <c r="S874" s="142"/>
      <c r="U874" s="5"/>
      <c r="W874" s="143"/>
      <c r="X874" s="143"/>
    </row>
    <row r="875">
      <c r="B875" s="139"/>
      <c r="D875" s="5"/>
      <c r="E875" s="140"/>
      <c r="H875" s="141"/>
      <c r="R875" s="142"/>
      <c r="S875" s="142"/>
      <c r="U875" s="5"/>
      <c r="W875" s="143"/>
      <c r="X875" s="143"/>
    </row>
    <row r="876">
      <c r="B876" s="139"/>
      <c r="D876" s="5"/>
      <c r="E876" s="140"/>
      <c r="H876" s="141"/>
      <c r="R876" s="142"/>
      <c r="S876" s="142"/>
      <c r="U876" s="5"/>
      <c r="W876" s="143"/>
      <c r="X876" s="143"/>
    </row>
    <row r="877">
      <c r="B877" s="139"/>
      <c r="D877" s="5"/>
      <c r="E877" s="140"/>
      <c r="H877" s="141"/>
      <c r="R877" s="142"/>
      <c r="S877" s="142"/>
      <c r="U877" s="5"/>
      <c r="W877" s="143"/>
      <c r="X877" s="143"/>
    </row>
    <row r="878">
      <c r="B878" s="139"/>
      <c r="D878" s="5"/>
      <c r="E878" s="140"/>
      <c r="H878" s="141"/>
      <c r="R878" s="142"/>
      <c r="S878" s="142"/>
      <c r="U878" s="5"/>
      <c r="W878" s="143"/>
      <c r="X878" s="143"/>
    </row>
    <row r="879">
      <c r="B879" s="139"/>
      <c r="D879" s="5"/>
      <c r="E879" s="140"/>
      <c r="H879" s="141"/>
      <c r="R879" s="142"/>
      <c r="S879" s="142"/>
      <c r="U879" s="5"/>
      <c r="W879" s="143"/>
      <c r="X879" s="143"/>
    </row>
    <row r="880">
      <c r="B880" s="139"/>
      <c r="D880" s="5"/>
      <c r="E880" s="140"/>
      <c r="H880" s="141"/>
      <c r="R880" s="142"/>
      <c r="S880" s="142"/>
      <c r="U880" s="5"/>
      <c r="W880" s="143"/>
      <c r="X880" s="143"/>
    </row>
    <row r="881">
      <c r="B881" s="139"/>
      <c r="D881" s="5"/>
      <c r="E881" s="140"/>
      <c r="H881" s="141"/>
      <c r="R881" s="142"/>
      <c r="S881" s="142"/>
      <c r="U881" s="5"/>
      <c r="W881" s="143"/>
      <c r="X881" s="143"/>
    </row>
    <row r="882">
      <c r="B882" s="139"/>
      <c r="D882" s="5"/>
      <c r="E882" s="140"/>
      <c r="H882" s="141"/>
      <c r="R882" s="142"/>
      <c r="S882" s="142"/>
      <c r="U882" s="5"/>
      <c r="W882" s="143"/>
      <c r="X882" s="143"/>
    </row>
    <row r="883">
      <c r="B883" s="139"/>
      <c r="D883" s="5"/>
      <c r="E883" s="140"/>
      <c r="H883" s="141"/>
      <c r="R883" s="142"/>
      <c r="S883" s="142"/>
      <c r="U883" s="5"/>
      <c r="W883" s="143"/>
      <c r="X883" s="143"/>
    </row>
    <row r="884">
      <c r="B884" s="139"/>
      <c r="D884" s="5"/>
      <c r="E884" s="140"/>
      <c r="H884" s="141"/>
      <c r="R884" s="142"/>
      <c r="S884" s="142"/>
      <c r="U884" s="5"/>
      <c r="W884" s="143"/>
      <c r="X884" s="143"/>
    </row>
    <row r="885">
      <c r="B885" s="139"/>
      <c r="D885" s="5"/>
      <c r="E885" s="140"/>
      <c r="H885" s="141"/>
      <c r="R885" s="142"/>
      <c r="S885" s="142"/>
      <c r="U885" s="5"/>
      <c r="W885" s="143"/>
      <c r="X885" s="143"/>
    </row>
    <row r="886">
      <c r="B886" s="139"/>
      <c r="D886" s="5"/>
      <c r="E886" s="140"/>
      <c r="H886" s="141"/>
      <c r="R886" s="142"/>
      <c r="S886" s="142"/>
      <c r="U886" s="5"/>
      <c r="W886" s="143"/>
      <c r="X886" s="143"/>
    </row>
    <row r="887">
      <c r="B887" s="139"/>
      <c r="D887" s="5"/>
      <c r="E887" s="140"/>
      <c r="H887" s="141"/>
      <c r="R887" s="142"/>
      <c r="S887" s="142"/>
      <c r="U887" s="5"/>
      <c r="W887" s="143"/>
      <c r="X887" s="143"/>
    </row>
    <row r="888">
      <c r="B888" s="139"/>
      <c r="D888" s="5"/>
      <c r="E888" s="140"/>
      <c r="H888" s="141"/>
      <c r="R888" s="142"/>
      <c r="S888" s="142"/>
      <c r="U888" s="5"/>
      <c r="W888" s="143"/>
      <c r="X888" s="143"/>
    </row>
    <row r="889">
      <c r="B889" s="139"/>
      <c r="D889" s="5"/>
      <c r="E889" s="140"/>
      <c r="H889" s="141"/>
      <c r="R889" s="142"/>
      <c r="S889" s="142"/>
      <c r="U889" s="5"/>
      <c r="W889" s="143"/>
      <c r="X889" s="143"/>
    </row>
    <row r="890">
      <c r="B890" s="139"/>
      <c r="D890" s="5"/>
      <c r="E890" s="140"/>
      <c r="H890" s="141"/>
      <c r="R890" s="142"/>
      <c r="S890" s="142"/>
      <c r="U890" s="5"/>
      <c r="W890" s="143"/>
      <c r="X890" s="143"/>
    </row>
    <row r="891">
      <c r="B891" s="139"/>
      <c r="D891" s="5"/>
      <c r="E891" s="140"/>
      <c r="H891" s="141"/>
      <c r="R891" s="142"/>
      <c r="S891" s="142"/>
      <c r="U891" s="5"/>
      <c r="W891" s="143"/>
      <c r="X891" s="143"/>
    </row>
    <row r="892">
      <c r="B892" s="139"/>
      <c r="D892" s="5"/>
      <c r="E892" s="140"/>
      <c r="H892" s="141"/>
      <c r="R892" s="142"/>
      <c r="S892" s="142"/>
      <c r="U892" s="5"/>
      <c r="W892" s="143"/>
      <c r="X892" s="143"/>
    </row>
    <row r="893">
      <c r="B893" s="139"/>
      <c r="D893" s="5"/>
      <c r="E893" s="140"/>
      <c r="H893" s="141"/>
      <c r="R893" s="142"/>
      <c r="S893" s="142"/>
      <c r="U893" s="5"/>
      <c r="W893" s="143"/>
      <c r="X893" s="143"/>
    </row>
    <row r="894">
      <c r="B894" s="139"/>
      <c r="D894" s="5"/>
      <c r="E894" s="140"/>
      <c r="H894" s="141"/>
      <c r="R894" s="142"/>
      <c r="S894" s="142"/>
      <c r="U894" s="5"/>
      <c r="W894" s="143"/>
      <c r="X894" s="143"/>
    </row>
    <row r="895">
      <c r="B895" s="139"/>
      <c r="D895" s="5"/>
      <c r="E895" s="140"/>
      <c r="H895" s="141"/>
      <c r="R895" s="142"/>
      <c r="S895" s="142"/>
      <c r="U895" s="5"/>
      <c r="W895" s="143"/>
      <c r="X895" s="143"/>
    </row>
    <row r="896">
      <c r="B896" s="139"/>
      <c r="D896" s="5"/>
      <c r="E896" s="140"/>
      <c r="H896" s="141"/>
      <c r="R896" s="142"/>
      <c r="S896" s="142"/>
      <c r="U896" s="5"/>
      <c r="W896" s="143"/>
      <c r="X896" s="143"/>
    </row>
    <row r="897">
      <c r="B897" s="139"/>
      <c r="D897" s="5"/>
      <c r="E897" s="140"/>
      <c r="H897" s="141"/>
      <c r="R897" s="142"/>
      <c r="S897" s="142"/>
      <c r="U897" s="5"/>
      <c r="W897" s="143"/>
      <c r="X897" s="143"/>
    </row>
    <row r="898">
      <c r="B898" s="139"/>
      <c r="D898" s="5"/>
      <c r="E898" s="140"/>
      <c r="H898" s="141"/>
      <c r="R898" s="142"/>
      <c r="S898" s="142"/>
      <c r="U898" s="5"/>
      <c r="W898" s="143"/>
      <c r="X898" s="143"/>
    </row>
    <row r="899">
      <c r="B899" s="139"/>
      <c r="D899" s="5"/>
      <c r="E899" s="140"/>
      <c r="H899" s="141"/>
      <c r="R899" s="142"/>
      <c r="S899" s="142"/>
      <c r="U899" s="5"/>
      <c r="W899" s="143"/>
      <c r="X899" s="143"/>
    </row>
    <row r="900">
      <c r="B900" s="139"/>
      <c r="D900" s="5"/>
      <c r="E900" s="140"/>
      <c r="H900" s="141"/>
      <c r="R900" s="142"/>
      <c r="S900" s="142"/>
      <c r="U900" s="5"/>
      <c r="W900" s="143"/>
      <c r="X900" s="143"/>
    </row>
    <row r="901">
      <c r="B901" s="139"/>
      <c r="D901" s="5"/>
      <c r="E901" s="140"/>
      <c r="H901" s="141"/>
      <c r="R901" s="142"/>
      <c r="S901" s="142"/>
      <c r="U901" s="5"/>
      <c r="W901" s="143"/>
      <c r="X901" s="143"/>
    </row>
    <row r="902">
      <c r="B902" s="139"/>
      <c r="D902" s="5"/>
      <c r="E902" s="140"/>
      <c r="H902" s="141"/>
      <c r="R902" s="142"/>
      <c r="S902" s="142"/>
      <c r="U902" s="5"/>
      <c r="W902" s="143"/>
      <c r="X902" s="143"/>
    </row>
    <row r="903">
      <c r="B903" s="139"/>
      <c r="D903" s="5"/>
      <c r="E903" s="140"/>
      <c r="H903" s="141"/>
      <c r="R903" s="142"/>
      <c r="S903" s="142"/>
      <c r="U903" s="5"/>
      <c r="W903" s="143"/>
      <c r="X903" s="143"/>
    </row>
    <row r="904">
      <c r="B904" s="139"/>
      <c r="D904" s="5"/>
      <c r="E904" s="140"/>
      <c r="H904" s="141"/>
      <c r="R904" s="142"/>
      <c r="S904" s="142"/>
      <c r="U904" s="5"/>
      <c r="W904" s="143"/>
      <c r="X904" s="143"/>
    </row>
    <row r="905">
      <c r="B905" s="139"/>
      <c r="D905" s="5"/>
      <c r="E905" s="140"/>
      <c r="H905" s="141"/>
      <c r="R905" s="142"/>
      <c r="S905" s="142"/>
      <c r="U905" s="5"/>
      <c r="W905" s="143"/>
      <c r="X905" s="143"/>
    </row>
    <row r="906">
      <c r="B906" s="139"/>
      <c r="D906" s="5"/>
      <c r="E906" s="140"/>
      <c r="H906" s="141"/>
      <c r="R906" s="142"/>
      <c r="S906" s="142"/>
      <c r="U906" s="5"/>
      <c r="W906" s="143"/>
      <c r="X906" s="143"/>
    </row>
    <row r="907">
      <c r="B907" s="139"/>
      <c r="D907" s="5"/>
      <c r="E907" s="140"/>
      <c r="H907" s="141"/>
      <c r="R907" s="142"/>
      <c r="S907" s="142"/>
      <c r="U907" s="5"/>
      <c r="W907" s="143"/>
      <c r="X907" s="143"/>
    </row>
    <row r="908">
      <c r="B908" s="139"/>
      <c r="D908" s="5"/>
      <c r="E908" s="140"/>
      <c r="H908" s="141"/>
      <c r="R908" s="142"/>
      <c r="S908" s="142"/>
      <c r="U908" s="5"/>
      <c r="W908" s="143"/>
      <c r="X908" s="143"/>
    </row>
    <row r="909">
      <c r="B909" s="139"/>
      <c r="D909" s="5"/>
      <c r="E909" s="140"/>
      <c r="H909" s="141"/>
      <c r="R909" s="142"/>
      <c r="S909" s="142"/>
      <c r="U909" s="5"/>
      <c r="W909" s="143"/>
      <c r="X909" s="143"/>
    </row>
    <row r="910">
      <c r="B910" s="139"/>
      <c r="D910" s="5"/>
      <c r="E910" s="140"/>
      <c r="H910" s="141"/>
      <c r="R910" s="142"/>
      <c r="S910" s="142"/>
      <c r="U910" s="5"/>
      <c r="W910" s="143"/>
      <c r="X910" s="143"/>
    </row>
    <row r="911">
      <c r="B911" s="139"/>
      <c r="D911" s="5"/>
      <c r="E911" s="140"/>
      <c r="H911" s="141"/>
      <c r="R911" s="142"/>
      <c r="S911" s="142"/>
      <c r="U911" s="5"/>
      <c r="W911" s="143"/>
      <c r="X911" s="143"/>
    </row>
    <row r="912">
      <c r="B912" s="139"/>
      <c r="D912" s="5"/>
      <c r="E912" s="140"/>
      <c r="H912" s="141"/>
      <c r="R912" s="142"/>
      <c r="S912" s="142"/>
      <c r="U912" s="5"/>
      <c r="W912" s="143"/>
      <c r="X912" s="143"/>
    </row>
    <row r="913">
      <c r="B913" s="139"/>
      <c r="D913" s="5"/>
      <c r="E913" s="140"/>
      <c r="H913" s="141"/>
      <c r="R913" s="142"/>
      <c r="S913" s="142"/>
      <c r="U913" s="5"/>
      <c r="W913" s="143"/>
      <c r="X913" s="143"/>
    </row>
    <row r="914">
      <c r="B914" s="139"/>
      <c r="D914" s="5"/>
      <c r="E914" s="140"/>
      <c r="H914" s="141"/>
      <c r="R914" s="142"/>
      <c r="S914" s="142"/>
      <c r="U914" s="5"/>
      <c r="W914" s="143"/>
      <c r="X914" s="143"/>
    </row>
    <row r="915">
      <c r="B915" s="139"/>
      <c r="D915" s="5"/>
      <c r="E915" s="140"/>
      <c r="H915" s="141"/>
      <c r="R915" s="142"/>
      <c r="S915" s="142"/>
      <c r="U915" s="5"/>
      <c r="W915" s="143"/>
      <c r="X915" s="143"/>
    </row>
    <row r="916">
      <c r="B916" s="139"/>
      <c r="D916" s="5"/>
      <c r="E916" s="140"/>
      <c r="H916" s="141"/>
      <c r="R916" s="142"/>
      <c r="S916" s="142"/>
      <c r="U916" s="5"/>
      <c r="W916" s="143"/>
      <c r="X916" s="143"/>
    </row>
    <row r="917">
      <c r="B917" s="139"/>
      <c r="D917" s="5"/>
      <c r="E917" s="140"/>
      <c r="H917" s="141"/>
      <c r="R917" s="142"/>
      <c r="S917" s="142"/>
      <c r="U917" s="5"/>
      <c r="W917" s="143"/>
      <c r="X917" s="143"/>
    </row>
    <row r="918">
      <c r="B918" s="139"/>
      <c r="D918" s="5"/>
      <c r="E918" s="140"/>
      <c r="H918" s="141"/>
      <c r="R918" s="142"/>
      <c r="S918" s="142"/>
      <c r="U918" s="5"/>
      <c r="W918" s="143"/>
      <c r="X918" s="143"/>
    </row>
    <row r="919">
      <c r="B919" s="139"/>
      <c r="D919" s="5"/>
      <c r="E919" s="140"/>
      <c r="H919" s="141"/>
      <c r="R919" s="142"/>
      <c r="S919" s="142"/>
      <c r="U919" s="5"/>
      <c r="W919" s="143"/>
      <c r="X919" s="143"/>
    </row>
    <row r="920">
      <c r="B920" s="139"/>
      <c r="D920" s="5"/>
      <c r="E920" s="140"/>
      <c r="H920" s="141"/>
      <c r="R920" s="142"/>
      <c r="S920" s="142"/>
      <c r="U920" s="5"/>
      <c r="W920" s="143"/>
      <c r="X920" s="143"/>
    </row>
    <row r="921">
      <c r="B921" s="139"/>
      <c r="D921" s="5"/>
      <c r="E921" s="140"/>
      <c r="H921" s="141"/>
      <c r="R921" s="142"/>
      <c r="S921" s="142"/>
      <c r="U921" s="5"/>
      <c r="W921" s="143"/>
      <c r="X921" s="143"/>
    </row>
    <row r="922">
      <c r="B922" s="139"/>
      <c r="D922" s="5"/>
      <c r="E922" s="140"/>
      <c r="H922" s="141"/>
      <c r="R922" s="142"/>
      <c r="S922" s="142"/>
      <c r="U922" s="5"/>
      <c r="W922" s="143"/>
      <c r="X922" s="143"/>
    </row>
    <row r="923">
      <c r="B923" s="139"/>
      <c r="D923" s="5"/>
      <c r="E923" s="140"/>
      <c r="H923" s="141"/>
      <c r="R923" s="142"/>
      <c r="S923" s="142"/>
      <c r="U923" s="5"/>
      <c r="W923" s="143"/>
      <c r="X923" s="143"/>
    </row>
    <row r="924">
      <c r="B924" s="139"/>
      <c r="D924" s="5"/>
      <c r="E924" s="140"/>
      <c r="H924" s="141"/>
      <c r="R924" s="142"/>
      <c r="S924" s="142"/>
      <c r="U924" s="5"/>
      <c r="W924" s="143"/>
      <c r="X924" s="143"/>
    </row>
    <row r="925">
      <c r="B925" s="139"/>
      <c r="D925" s="5"/>
      <c r="E925" s="140"/>
      <c r="H925" s="141"/>
      <c r="R925" s="142"/>
      <c r="S925" s="142"/>
      <c r="U925" s="5"/>
      <c r="W925" s="143"/>
      <c r="X925" s="143"/>
    </row>
    <row r="926">
      <c r="B926" s="139"/>
      <c r="D926" s="5"/>
      <c r="E926" s="140"/>
      <c r="H926" s="141"/>
      <c r="R926" s="142"/>
      <c r="S926" s="142"/>
      <c r="U926" s="5"/>
      <c r="W926" s="143"/>
      <c r="X926" s="143"/>
    </row>
    <row r="927">
      <c r="B927" s="139"/>
      <c r="D927" s="5"/>
      <c r="E927" s="140"/>
      <c r="H927" s="141"/>
      <c r="R927" s="142"/>
      <c r="S927" s="142"/>
      <c r="U927" s="5"/>
      <c r="W927" s="143"/>
      <c r="X927" s="143"/>
    </row>
    <row r="928">
      <c r="B928" s="139"/>
      <c r="D928" s="5"/>
      <c r="E928" s="140"/>
      <c r="H928" s="141"/>
      <c r="R928" s="142"/>
      <c r="S928" s="142"/>
      <c r="U928" s="5"/>
      <c r="W928" s="143"/>
      <c r="X928" s="143"/>
    </row>
    <row r="929">
      <c r="B929" s="139"/>
      <c r="D929" s="5"/>
      <c r="E929" s="140"/>
      <c r="H929" s="141"/>
      <c r="R929" s="142"/>
      <c r="S929" s="142"/>
      <c r="U929" s="5"/>
      <c r="W929" s="143"/>
      <c r="X929" s="143"/>
    </row>
    <row r="930">
      <c r="B930" s="139"/>
      <c r="D930" s="5"/>
      <c r="E930" s="140"/>
      <c r="H930" s="141"/>
      <c r="R930" s="142"/>
      <c r="S930" s="142"/>
      <c r="U930" s="5"/>
      <c r="W930" s="143"/>
      <c r="X930" s="143"/>
    </row>
    <row r="931">
      <c r="B931" s="139"/>
      <c r="D931" s="5"/>
      <c r="E931" s="140"/>
      <c r="H931" s="141"/>
      <c r="R931" s="142"/>
      <c r="S931" s="142"/>
      <c r="U931" s="5"/>
      <c r="W931" s="143"/>
      <c r="X931" s="143"/>
    </row>
    <row r="932">
      <c r="B932" s="139"/>
      <c r="D932" s="5"/>
      <c r="E932" s="140"/>
      <c r="H932" s="141"/>
      <c r="R932" s="142"/>
      <c r="S932" s="142"/>
      <c r="U932" s="5"/>
      <c r="W932" s="143"/>
      <c r="X932" s="143"/>
    </row>
    <row r="933">
      <c r="B933" s="139"/>
      <c r="D933" s="5"/>
      <c r="E933" s="140"/>
      <c r="H933" s="141"/>
      <c r="R933" s="142"/>
      <c r="S933" s="142"/>
      <c r="U933" s="5"/>
      <c r="W933" s="143"/>
      <c r="X933" s="143"/>
    </row>
    <row r="934">
      <c r="B934" s="139"/>
      <c r="D934" s="5"/>
      <c r="E934" s="140"/>
      <c r="H934" s="141"/>
      <c r="R934" s="142"/>
      <c r="S934" s="142"/>
      <c r="U934" s="5"/>
      <c r="W934" s="143"/>
      <c r="X934" s="143"/>
    </row>
    <row r="935">
      <c r="B935" s="139"/>
      <c r="D935" s="5"/>
      <c r="E935" s="140"/>
      <c r="H935" s="141"/>
      <c r="R935" s="142"/>
      <c r="S935" s="142"/>
      <c r="U935" s="5"/>
      <c r="W935" s="143"/>
      <c r="X935" s="143"/>
    </row>
    <row r="936">
      <c r="B936" s="139"/>
      <c r="D936" s="5"/>
      <c r="E936" s="140"/>
      <c r="H936" s="141"/>
      <c r="R936" s="142"/>
      <c r="S936" s="142"/>
      <c r="U936" s="5"/>
      <c r="W936" s="143"/>
      <c r="X936" s="143"/>
    </row>
    <row r="937">
      <c r="B937" s="139"/>
      <c r="D937" s="5"/>
      <c r="E937" s="140"/>
      <c r="H937" s="141"/>
      <c r="R937" s="142"/>
      <c r="S937" s="142"/>
      <c r="U937" s="5"/>
      <c r="W937" s="143"/>
      <c r="X937" s="143"/>
    </row>
    <row r="938">
      <c r="B938" s="139"/>
      <c r="D938" s="5"/>
      <c r="E938" s="140"/>
      <c r="H938" s="141"/>
      <c r="R938" s="142"/>
      <c r="S938" s="142"/>
      <c r="U938" s="5"/>
      <c r="W938" s="143"/>
      <c r="X938" s="143"/>
    </row>
    <row r="939">
      <c r="B939" s="139"/>
      <c r="D939" s="5"/>
      <c r="E939" s="140"/>
      <c r="H939" s="141"/>
      <c r="R939" s="142"/>
      <c r="S939" s="142"/>
      <c r="U939" s="5"/>
      <c r="W939" s="143"/>
      <c r="X939" s="143"/>
    </row>
    <row r="940">
      <c r="B940" s="139"/>
      <c r="D940" s="5"/>
      <c r="E940" s="140"/>
      <c r="H940" s="141"/>
      <c r="R940" s="142"/>
      <c r="S940" s="142"/>
      <c r="U940" s="5"/>
      <c r="W940" s="143"/>
      <c r="X940" s="143"/>
    </row>
    <row r="941">
      <c r="B941" s="139"/>
      <c r="D941" s="5"/>
      <c r="E941" s="140"/>
      <c r="H941" s="141"/>
      <c r="R941" s="142"/>
      <c r="S941" s="142"/>
      <c r="U941" s="5"/>
      <c r="W941" s="143"/>
      <c r="X941" s="143"/>
    </row>
    <row r="942">
      <c r="B942" s="139"/>
      <c r="D942" s="5"/>
      <c r="E942" s="140"/>
      <c r="H942" s="141"/>
      <c r="R942" s="142"/>
      <c r="S942" s="142"/>
      <c r="U942" s="5"/>
      <c r="W942" s="143"/>
      <c r="X942" s="143"/>
    </row>
    <row r="943">
      <c r="B943" s="139"/>
      <c r="D943" s="5"/>
      <c r="E943" s="140"/>
      <c r="H943" s="141"/>
      <c r="R943" s="142"/>
      <c r="S943" s="142"/>
      <c r="U943" s="5"/>
      <c r="W943" s="143"/>
      <c r="X943" s="143"/>
    </row>
    <row r="944">
      <c r="B944" s="139"/>
      <c r="D944" s="5"/>
      <c r="E944" s="140"/>
      <c r="H944" s="141"/>
      <c r="R944" s="142"/>
      <c r="S944" s="142"/>
      <c r="U944" s="5"/>
      <c r="W944" s="143"/>
      <c r="X944" s="143"/>
    </row>
    <row r="945">
      <c r="B945" s="139"/>
      <c r="D945" s="5"/>
      <c r="E945" s="140"/>
      <c r="H945" s="141"/>
      <c r="R945" s="142"/>
      <c r="S945" s="142"/>
      <c r="U945" s="5"/>
      <c r="W945" s="143"/>
      <c r="X945" s="143"/>
    </row>
    <row r="946">
      <c r="B946" s="139"/>
      <c r="D946" s="5"/>
      <c r="E946" s="140"/>
      <c r="H946" s="141"/>
      <c r="R946" s="142"/>
      <c r="S946" s="142"/>
      <c r="U946" s="5"/>
      <c r="W946" s="143"/>
      <c r="X946" s="143"/>
    </row>
    <row r="947">
      <c r="B947" s="139"/>
      <c r="D947" s="5"/>
      <c r="E947" s="140"/>
      <c r="H947" s="141"/>
      <c r="R947" s="142"/>
      <c r="S947" s="142"/>
      <c r="U947" s="5"/>
      <c r="W947" s="143"/>
      <c r="X947" s="143"/>
    </row>
    <row r="948">
      <c r="B948" s="139"/>
      <c r="D948" s="5"/>
      <c r="E948" s="140"/>
      <c r="H948" s="141"/>
      <c r="R948" s="142"/>
      <c r="S948" s="142"/>
      <c r="U948" s="5"/>
      <c r="W948" s="143"/>
      <c r="X948" s="143"/>
    </row>
    <row r="949">
      <c r="B949" s="139"/>
      <c r="D949" s="5"/>
      <c r="E949" s="140"/>
      <c r="H949" s="141"/>
      <c r="R949" s="142"/>
      <c r="S949" s="142"/>
      <c r="U949" s="5"/>
      <c r="W949" s="143"/>
      <c r="X949" s="143"/>
    </row>
    <row r="950">
      <c r="B950" s="139"/>
      <c r="D950" s="5"/>
      <c r="E950" s="140"/>
      <c r="H950" s="141"/>
      <c r="R950" s="142"/>
      <c r="S950" s="142"/>
      <c r="U950" s="5"/>
      <c r="W950" s="143"/>
      <c r="X950" s="143"/>
    </row>
    <row r="951">
      <c r="B951" s="139"/>
      <c r="D951" s="5"/>
      <c r="E951" s="140"/>
      <c r="H951" s="141"/>
      <c r="R951" s="142"/>
      <c r="S951" s="142"/>
      <c r="U951" s="5"/>
      <c r="W951" s="143"/>
      <c r="X951" s="143"/>
    </row>
    <row r="952">
      <c r="B952" s="139"/>
      <c r="D952" s="5"/>
      <c r="E952" s="140"/>
      <c r="H952" s="141"/>
      <c r="R952" s="142"/>
      <c r="S952" s="142"/>
      <c r="U952" s="5"/>
      <c r="W952" s="143"/>
      <c r="X952" s="143"/>
    </row>
    <row r="953">
      <c r="B953" s="139"/>
      <c r="D953" s="5"/>
      <c r="E953" s="140"/>
      <c r="H953" s="141"/>
      <c r="R953" s="142"/>
      <c r="S953" s="142"/>
      <c r="U953" s="5"/>
      <c r="W953" s="143"/>
      <c r="X953" s="143"/>
    </row>
    <row r="954">
      <c r="B954" s="139"/>
      <c r="D954" s="5"/>
      <c r="E954" s="140"/>
      <c r="H954" s="141"/>
      <c r="R954" s="142"/>
      <c r="S954" s="142"/>
      <c r="U954" s="5"/>
      <c r="W954" s="143"/>
      <c r="X954" s="143"/>
    </row>
    <row r="955">
      <c r="B955" s="139"/>
      <c r="D955" s="5"/>
      <c r="E955" s="140"/>
      <c r="H955" s="141"/>
      <c r="R955" s="142"/>
      <c r="S955" s="142"/>
      <c r="U955" s="5"/>
      <c r="W955" s="143"/>
      <c r="X955" s="143"/>
    </row>
    <row r="956">
      <c r="B956" s="139"/>
      <c r="D956" s="5"/>
      <c r="E956" s="140"/>
      <c r="H956" s="141"/>
      <c r="R956" s="142"/>
      <c r="S956" s="142"/>
      <c r="U956" s="5"/>
      <c r="W956" s="143"/>
      <c r="X956" s="143"/>
    </row>
    <row r="957">
      <c r="B957" s="139"/>
      <c r="D957" s="5"/>
      <c r="E957" s="140"/>
      <c r="H957" s="141"/>
      <c r="R957" s="142"/>
      <c r="S957" s="142"/>
      <c r="U957" s="5"/>
      <c r="W957" s="143"/>
      <c r="X957" s="143"/>
    </row>
    <row r="958">
      <c r="B958" s="139"/>
      <c r="D958" s="5"/>
      <c r="E958" s="140"/>
      <c r="H958" s="141"/>
      <c r="R958" s="142"/>
      <c r="S958" s="142"/>
      <c r="U958" s="5"/>
      <c r="W958" s="143"/>
      <c r="X958" s="143"/>
    </row>
    <row r="959">
      <c r="B959" s="139"/>
      <c r="D959" s="5"/>
      <c r="E959" s="140"/>
      <c r="H959" s="141"/>
      <c r="R959" s="142"/>
      <c r="S959" s="142"/>
      <c r="U959" s="5"/>
      <c r="W959" s="143"/>
      <c r="X959" s="143"/>
    </row>
    <row r="960">
      <c r="B960" s="139"/>
      <c r="D960" s="5"/>
      <c r="E960" s="140"/>
      <c r="H960" s="141"/>
      <c r="R960" s="142"/>
      <c r="S960" s="142"/>
      <c r="U960" s="5"/>
      <c r="W960" s="143"/>
      <c r="X960" s="143"/>
    </row>
    <row r="961">
      <c r="B961" s="139"/>
      <c r="D961" s="5"/>
      <c r="E961" s="140"/>
      <c r="H961" s="141"/>
      <c r="R961" s="142"/>
      <c r="S961" s="142"/>
      <c r="U961" s="5"/>
      <c r="W961" s="143"/>
      <c r="X961" s="143"/>
    </row>
    <row r="962">
      <c r="B962" s="139"/>
      <c r="D962" s="5"/>
      <c r="E962" s="140"/>
      <c r="H962" s="141"/>
      <c r="R962" s="142"/>
      <c r="S962" s="142"/>
      <c r="U962" s="5"/>
      <c r="W962" s="143"/>
      <c r="X962" s="143"/>
    </row>
    <row r="963">
      <c r="B963" s="139"/>
      <c r="D963" s="5"/>
      <c r="E963" s="140"/>
      <c r="H963" s="141"/>
      <c r="R963" s="142"/>
      <c r="S963" s="142"/>
      <c r="U963" s="5"/>
      <c r="W963" s="143"/>
      <c r="X963" s="143"/>
    </row>
    <row r="964">
      <c r="B964" s="139"/>
      <c r="D964" s="5"/>
      <c r="E964" s="140"/>
      <c r="H964" s="141"/>
      <c r="R964" s="142"/>
      <c r="S964" s="142"/>
      <c r="U964" s="5"/>
      <c r="W964" s="143"/>
      <c r="X964" s="143"/>
    </row>
    <row r="965">
      <c r="B965" s="139"/>
      <c r="D965" s="5"/>
      <c r="E965" s="140"/>
      <c r="H965" s="141"/>
      <c r="R965" s="142"/>
      <c r="S965" s="142"/>
      <c r="U965" s="5"/>
      <c r="W965" s="143"/>
      <c r="X965" s="143"/>
    </row>
    <row r="966">
      <c r="B966" s="139"/>
      <c r="D966" s="5"/>
      <c r="E966" s="140"/>
      <c r="H966" s="141"/>
      <c r="R966" s="142"/>
      <c r="S966" s="142"/>
      <c r="U966" s="5"/>
      <c r="W966" s="143"/>
      <c r="X966" s="143"/>
    </row>
    <row r="967">
      <c r="B967" s="139"/>
      <c r="D967" s="5"/>
      <c r="E967" s="140"/>
      <c r="H967" s="141"/>
      <c r="R967" s="142"/>
      <c r="S967" s="142"/>
      <c r="U967" s="5"/>
      <c r="W967" s="143"/>
      <c r="X967" s="143"/>
    </row>
    <row r="968">
      <c r="B968" s="139"/>
      <c r="D968" s="5"/>
      <c r="E968" s="140"/>
      <c r="H968" s="141"/>
      <c r="R968" s="142"/>
      <c r="S968" s="142"/>
      <c r="U968" s="5"/>
      <c r="W968" s="143"/>
      <c r="X968" s="143"/>
    </row>
    <row r="969">
      <c r="B969" s="139"/>
      <c r="D969" s="5"/>
      <c r="E969" s="140"/>
      <c r="H969" s="141"/>
      <c r="R969" s="142"/>
      <c r="S969" s="142"/>
      <c r="U969" s="5"/>
      <c r="W969" s="143"/>
      <c r="X969" s="143"/>
    </row>
    <row r="970">
      <c r="B970" s="139"/>
      <c r="D970" s="5"/>
      <c r="E970" s="140"/>
      <c r="H970" s="141"/>
      <c r="R970" s="142"/>
      <c r="S970" s="142"/>
      <c r="U970" s="5"/>
      <c r="W970" s="143"/>
      <c r="X970" s="143"/>
    </row>
    <row r="971">
      <c r="B971" s="139"/>
      <c r="D971" s="5"/>
      <c r="E971" s="140"/>
      <c r="H971" s="141"/>
      <c r="R971" s="142"/>
      <c r="S971" s="142"/>
      <c r="U971" s="5"/>
      <c r="W971" s="143"/>
      <c r="X971" s="143"/>
    </row>
    <row r="972">
      <c r="B972" s="139"/>
      <c r="D972" s="5"/>
      <c r="E972" s="140"/>
      <c r="H972" s="141"/>
      <c r="R972" s="142"/>
      <c r="S972" s="142"/>
      <c r="U972" s="5"/>
      <c r="W972" s="143"/>
      <c r="X972" s="143"/>
    </row>
    <row r="973">
      <c r="B973" s="139"/>
      <c r="D973" s="5"/>
      <c r="E973" s="140"/>
      <c r="H973" s="141"/>
      <c r="R973" s="142"/>
      <c r="S973" s="142"/>
      <c r="U973" s="5"/>
      <c r="W973" s="143"/>
      <c r="X973" s="143"/>
    </row>
    <row r="974">
      <c r="B974" s="139"/>
      <c r="D974" s="5"/>
      <c r="E974" s="140"/>
      <c r="H974" s="141"/>
      <c r="R974" s="142"/>
      <c r="S974" s="142"/>
      <c r="U974" s="5"/>
      <c r="W974" s="143"/>
      <c r="X974" s="143"/>
    </row>
    <row r="975">
      <c r="B975" s="139"/>
      <c r="D975" s="5"/>
      <c r="E975" s="140"/>
      <c r="H975" s="141"/>
      <c r="R975" s="142"/>
      <c r="S975" s="142"/>
      <c r="U975" s="5"/>
      <c r="W975" s="143"/>
      <c r="X975" s="143"/>
    </row>
    <row r="976">
      <c r="B976" s="139"/>
      <c r="D976" s="5"/>
      <c r="E976" s="140"/>
      <c r="H976" s="141"/>
      <c r="R976" s="142"/>
      <c r="S976" s="142"/>
      <c r="U976" s="5"/>
      <c r="W976" s="143"/>
      <c r="X976" s="143"/>
    </row>
    <row r="977">
      <c r="B977" s="139"/>
      <c r="D977" s="5"/>
      <c r="E977" s="140"/>
      <c r="H977" s="141"/>
      <c r="R977" s="142"/>
      <c r="S977" s="142"/>
      <c r="U977" s="5"/>
      <c r="W977" s="143"/>
      <c r="X977" s="143"/>
    </row>
    <row r="978">
      <c r="B978" s="139"/>
      <c r="D978" s="5"/>
      <c r="E978" s="140"/>
      <c r="H978" s="141"/>
      <c r="R978" s="142"/>
      <c r="S978" s="142"/>
      <c r="U978" s="5"/>
      <c r="W978" s="143"/>
      <c r="X978" s="143"/>
    </row>
    <row r="979">
      <c r="B979" s="139"/>
      <c r="D979" s="5"/>
      <c r="E979" s="140"/>
      <c r="H979" s="141"/>
      <c r="R979" s="142"/>
      <c r="S979" s="142"/>
      <c r="U979" s="5"/>
      <c r="W979" s="143"/>
      <c r="X979" s="143"/>
    </row>
    <row r="980">
      <c r="B980" s="139"/>
      <c r="D980" s="5"/>
      <c r="E980" s="140"/>
      <c r="H980" s="141"/>
      <c r="R980" s="142"/>
      <c r="S980" s="142"/>
      <c r="U980" s="5"/>
      <c r="W980" s="143"/>
      <c r="X980" s="143"/>
    </row>
    <row r="981">
      <c r="B981" s="139"/>
      <c r="D981" s="5"/>
      <c r="E981" s="140"/>
      <c r="H981" s="141"/>
      <c r="R981" s="142"/>
      <c r="S981" s="142"/>
      <c r="U981" s="5"/>
      <c r="W981" s="143"/>
      <c r="X981" s="143"/>
    </row>
    <row r="982">
      <c r="B982" s="139"/>
      <c r="D982" s="5"/>
      <c r="E982" s="140"/>
      <c r="H982" s="141"/>
      <c r="R982" s="142"/>
      <c r="S982" s="142"/>
      <c r="U982" s="5"/>
      <c r="W982" s="143"/>
      <c r="X982" s="143"/>
    </row>
    <row r="983">
      <c r="B983" s="139"/>
      <c r="D983" s="5"/>
      <c r="E983" s="140"/>
      <c r="H983" s="141"/>
      <c r="R983" s="142"/>
      <c r="S983" s="142"/>
      <c r="U983" s="5"/>
      <c r="W983" s="143"/>
      <c r="X983" s="143"/>
    </row>
    <row r="984">
      <c r="B984" s="139"/>
      <c r="D984" s="5"/>
      <c r="E984" s="140"/>
      <c r="H984" s="141"/>
      <c r="R984" s="142"/>
      <c r="S984" s="142"/>
      <c r="U984" s="5"/>
      <c r="W984" s="143"/>
      <c r="X984" s="143"/>
    </row>
    <row r="985">
      <c r="B985" s="139"/>
      <c r="D985" s="5"/>
      <c r="E985" s="140"/>
      <c r="H985" s="141"/>
      <c r="R985" s="142"/>
      <c r="S985" s="142"/>
      <c r="U985" s="5"/>
      <c r="W985" s="143"/>
      <c r="X985" s="143"/>
    </row>
    <row r="986">
      <c r="B986" s="139"/>
      <c r="D986" s="5"/>
      <c r="E986" s="140"/>
      <c r="H986" s="141"/>
      <c r="R986" s="142"/>
      <c r="S986" s="142"/>
      <c r="U986" s="5"/>
      <c r="W986" s="143"/>
      <c r="X986" s="143"/>
    </row>
    <row r="987">
      <c r="B987" s="139"/>
      <c r="D987" s="5"/>
      <c r="E987" s="140"/>
      <c r="H987" s="141"/>
      <c r="R987" s="142"/>
      <c r="S987" s="142"/>
      <c r="U987" s="5"/>
      <c r="W987" s="143"/>
      <c r="X987" s="143"/>
    </row>
    <row r="988">
      <c r="B988" s="139"/>
      <c r="D988" s="5"/>
      <c r="E988" s="140"/>
      <c r="H988" s="141"/>
      <c r="R988" s="142"/>
      <c r="S988" s="142"/>
      <c r="U988" s="5"/>
      <c r="W988" s="143"/>
      <c r="X988" s="143"/>
    </row>
    <row r="989">
      <c r="B989" s="139"/>
      <c r="D989" s="5"/>
      <c r="E989" s="140"/>
      <c r="H989" s="141"/>
      <c r="R989" s="142"/>
      <c r="S989" s="142"/>
      <c r="U989" s="5"/>
      <c r="W989" s="143"/>
      <c r="X989" s="143"/>
    </row>
    <row r="990">
      <c r="B990" s="139"/>
      <c r="D990" s="5"/>
      <c r="E990" s="140"/>
      <c r="H990" s="141"/>
      <c r="R990" s="142"/>
      <c r="S990" s="142"/>
      <c r="U990" s="5"/>
      <c r="W990" s="143"/>
      <c r="X990" s="143"/>
    </row>
    <row r="991">
      <c r="B991" s="139"/>
      <c r="D991" s="5"/>
      <c r="E991" s="140"/>
      <c r="H991" s="141"/>
      <c r="R991" s="142"/>
      <c r="S991" s="142"/>
      <c r="U991" s="5"/>
      <c r="W991" s="143"/>
      <c r="X991" s="143"/>
    </row>
    <row r="992">
      <c r="B992" s="139"/>
      <c r="D992" s="5"/>
      <c r="E992" s="140"/>
      <c r="H992" s="141"/>
      <c r="R992" s="142"/>
      <c r="S992" s="142"/>
      <c r="U992" s="5"/>
      <c r="W992" s="143"/>
      <c r="X992" s="143"/>
    </row>
    <row r="993">
      <c r="B993" s="139"/>
      <c r="D993" s="5"/>
      <c r="E993" s="140"/>
      <c r="H993" s="141"/>
      <c r="R993" s="142"/>
      <c r="S993" s="142"/>
      <c r="U993" s="5"/>
      <c r="W993" s="143"/>
      <c r="X993" s="143"/>
    </row>
    <row r="994">
      <c r="B994" s="139"/>
      <c r="D994" s="5"/>
      <c r="E994" s="140"/>
      <c r="H994" s="141"/>
      <c r="R994" s="142"/>
      <c r="S994" s="142"/>
      <c r="U994" s="5"/>
      <c r="W994" s="143"/>
      <c r="X994" s="143"/>
    </row>
    <row r="995">
      <c r="B995" s="139"/>
      <c r="D995" s="5"/>
      <c r="E995" s="140"/>
      <c r="H995" s="141"/>
      <c r="R995" s="142"/>
      <c r="S995" s="142"/>
      <c r="U995" s="5"/>
      <c r="W995" s="143"/>
      <c r="X995" s="143"/>
    </row>
    <row r="996">
      <c r="B996" s="139"/>
      <c r="D996" s="5"/>
      <c r="E996" s="140"/>
      <c r="H996" s="141"/>
      <c r="R996" s="142"/>
      <c r="S996" s="142"/>
      <c r="U996" s="5"/>
      <c r="W996" s="143"/>
      <c r="X996" s="143"/>
    </row>
    <row r="997">
      <c r="B997" s="139"/>
      <c r="D997" s="5"/>
      <c r="E997" s="140"/>
      <c r="H997" s="141"/>
      <c r="R997" s="142"/>
      <c r="S997" s="142"/>
      <c r="U997" s="5"/>
      <c r="W997" s="143"/>
      <c r="X997" s="143"/>
    </row>
    <row r="998">
      <c r="B998" s="139"/>
      <c r="D998" s="5"/>
      <c r="E998" s="140"/>
      <c r="H998" s="141"/>
      <c r="R998" s="142"/>
      <c r="S998" s="142"/>
      <c r="U998" s="5"/>
      <c r="W998" s="143"/>
      <c r="X998" s="143"/>
    </row>
    <row r="999">
      <c r="B999" s="139"/>
      <c r="D999" s="5"/>
      <c r="E999" s="140"/>
      <c r="H999" s="141"/>
      <c r="R999" s="142"/>
      <c r="S999" s="142"/>
      <c r="U999" s="5"/>
      <c r="W999" s="143"/>
      <c r="X999" s="143"/>
    </row>
    <row r="1000">
      <c r="B1000" s="139"/>
      <c r="D1000" s="5"/>
      <c r="E1000" s="140"/>
      <c r="H1000" s="141"/>
      <c r="R1000" s="142"/>
      <c r="S1000" s="142"/>
      <c r="U1000" s="5"/>
      <c r="W1000" s="143"/>
      <c r="X1000" s="143"/>
    </row>
    <row r="1001">
      <c r="B1001" s="139"/>
      <c r="D1001" s="5"/>
      <c r="E1001" s="140"/>
      <c r="H1001" s="141"/>
      <c r="R1001" s="142"/>
      <c r="S1001" s="142"/>
      <c r="U1001" s="5"/>
      <c r="W1001" s="143"/>
      <c r="X1001" s="143"/>
    </row>
  </sheetData>
  <autoFilter ref="$A$1:$AJ$51"/>
  <conditionalFormatting sqref="E1:E521 E596:E100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W1:W100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W1:W1001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1:X100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43"/>
    </row>
    <row r="2">
      <c r="D2" s="143"/>
    </row>
    <row r="3">
      <c r="B3" s="6" t="s">
        <v>2626</v>
      </c>
      <c r="C3" s="6" t="s">
        <v>2627</v>
      </c>
      <c r="D3" s="144" t="s">
        <v>2628</v>
      </c>
      <c r="F3" s="6" t="s">
        <v>2629</v>
      </c>
      <c r="H3" s="144" t="s">
        <v>2628</v>
      </c>
    </row>
    <row r="4">
      <c r="B4" s="6">
        <v>1.0</v>
      </c>
      <c r="C4" s="6">
        <v>0.03</v>
      </c>
      <c r="D4" s="143">
        <f>C4*renta!$G$18/B4</f>
        <v>7.2</v>
      </c>
      <c r="F4" s="6">
        <v>111.0</v>
      </c>
      <c r="G4" s="6">
        <v>0.02</v>
      </c>
      <c r="H4" s="143">
        <f>G4*renta!$G$29/F4</f>
        <v>4.242636832</v>
      </c>
    </row>
    <row r="5">
      <c r="B5" s="6">
        <v>1.3</v>
      </c>
      <c r="C5" s="6">
        <v>0.04</v>
      </c>
      <c r="D5" s="143">
        <f>C5*renta!$G$18/B5</f>
        <v>7.384615385</v>
      </c>
    </row>
    <row r="6">
      <c r="D6" s="143" t="str">
        <f>C6*renta!$G$18/B6</f>
        <v>#DIV/0!</v>
      </c>
    </row>
    <row r="7">
      <c r="D7" s="143" t="str">
        <f>C7*renta!$G$18/B7</f>
        <v>#DIV/0!</v>
      </c>
    </row>
    <row r="8">
      <c r="D8" s="143" t="str">
        <f>C8*renta!$G$18/B8</f>
        <v>#DIV/0!</v>
      </c>
    </row>
    <row r="9">
      <c r="D9" s="143" t="str">
        <f>C9*renta!$G$18/B9</f>
        <v>#DIV/0!</v>
      </c>
    </row>
    <row r="10">
      <c r="D10" s="143" t="str">
        <f>C10*renta!$G$18/B10</f>
        <v>#DIV/0!</v>
      </c>
    </row>
    <row r="11">
      <c r="D11" s="143" t="str">
        <f>C11*renta!$G$18/B11</f>
        <v>#DIV/0!</v>
      </c>
    </row>
    <row r="12">
      <c r="D12" s="143" t="str">
        <f>C12*renta!$G$18/B12</f>
        <v>#DIV/0!</v>
      </c>
    </row>
    <row r="13">
      <c r="D13" s="143" t="str">
        <f>C13*renta!$G$18/B13</f>
        <v>#DIV/0!</v>
      </c>
    </row>
    <row r="14">
      <c r="D14" s="143" t="str">
        <f>C14*renta!$G$18/B14</f>
        <v>#DIV/0!</v>
      </c>
    </row>
    <row r="15">
      <c r="D15" s="143" t="str">
        <f>C15*renta!$G$18/B15</f>
        <v>#DIV/0!</v>
      </c>
    </row>
    <row r="16">
      <c r="D16" s="143" t="str">
        <f>C16*renta!$G$18/B16</f>
        <v>#DIV/0!</v>
      </c>
    </row>
    <row r="17">
      <c r="D17" s="143" t="str">
        <f>C17*renta!$G$18/B17</f>
        <v>#DIV/0!</v>
      </c>
    </row>
    <row r="18">
      <c r="D18" s="143"/>
    </row>
    <row r="19">
      <c r="D19" s="143"/>
    </row>
    <row r="20">
      <c r="C20" s="6" t="s">
        <v>2630</v>
      </c>
      <c r="E20" s="144" t="s">
        <v>2631</v>
      </c>
      <c r="F20" s="6" t="s">
        <v>2632</v>
      </c>
    </row>
    <row r="21">
      <c r="B21" s="6" t="s">
        <v>2633</v>
      </c>
      <c r="C21" s="6">
        <v>3.0</v>
      </c>
      <c r="E21" s="143">
        <f>8*renta!$G$20</f>
        <v>19368</v>
      </c>
      <c r="F21" s="26">
        <f t="shared" ref="F21:F22" si="1">E21/C21/1000</f>
        <v>6.456</v>
      </c>
    </row>
    <row r="22">
      <c r="C22" s="6">
        <v>1.68</v>
      </c>
      <c r="E22" s="143">
        <f>3*renta!$G$26</f>
        <v>6750</v>
      </c>
      <c r="F22" s="26">
        <f t="shared" si="1"/>
        <v>4.017857143</v>
      </c>
    </row>
    <row r="23">
      <c r="B23" s="6">
        <v>75.6</v>
      </c>
      <c r="D23" s="143"/>
    </row>
    <row r="24">
      <c r="D24" s="143"/>
    </row>
    <row r="25">
      <c r="D25" s="143"/>
    </row>
    <row r="26">
      <c r="D26" s="143"/>
    </row>
    <row r="27">
      <c r="D27" s="143"/>
    </row>
    <row r="28">
      <c r="D28" s="143"/>
    </row>
    <row r="29">
      <c r="D29" s="143"/>
    </row>
    <row r="30">
      <c r="D30" s="143"/>
    </row>
    <row r="31">
      <c r="D31" s="143"/>
    </row>
    <row r="32">
      <c r="D32" s="143"/>
    </row>
    <row r="33">
      <c r="D33" s="143"/>
    </row>
    <row r="34">
      <c r="D34" s="143"/>
    </row>
    <row r="35">
      <c r="D35" s="143"/>
    </row>
    <row r="36">
      <c r="D36" s="143"/>
    </row>
    <row r="37">
      <c r="D37" s="143"/>
    </row>
    <row r="38">
      <c r="D38" s="143"/>
    </row>
    <row r="39">
      <c r="D39" s="143"/>
    </row>
    <row r="40">
      <c r="D40" s="143"/>
    </row>
    <row r="41">
      <c r="D41" s="143"/>
    </row>
    <row r="42">
      <c r="D42" s="143"/>
    </row>
    <row r="43">
      <c r="D43" s="143"/>
    </row>
    <row r="44">
      <c r="D44" s="143"/>
    </row>
    <row r="45">
      <c r="D45" s="143"/>
    </row>
    <row r="46">
      <c r="D46" s="143"/>
    </row>
    <row r="47">
      <c r="D47" s="143"/>
    </row>
    <row r="48">
      <c r="D48" s="143"/>
    </row>
    <row r="49">
      <c r="D49" s="143"/>
    </row>
    <row r="50">
      <c r="D50" s="143"/>
    </row>
    <row r="51">
      <c r="D51" s="143"/>
    </row>
    <row r="52">
      <c r="D52" s="143"/>
    </row>
    <row r="53">
      <c r="D53" s="143"/>
    </row>
    <row r="54">
      <c r="D54" s="143"/>
    </row>
    <row r="55">
      <c r="D55" s="143"/>
    </row>
    <row r="56">
      <c r="D56" s="143"/>
    </row>
    <row r="57">
      <c r="D57" s="143"/>
    </row>
    <row r="58">
      <c r="D58" s="143"/>
    </row>
    <row r="59">
      <c r="D59" s="143"/>
    </row>
    <row r="60">
      <c r="D60" s="143"/>
    </row>
    <row r="61">
      <c r="D61" s="143"/>
    </row>
    <row r="62">
      <c r="D62" s="143"/>
    </row>
    <row r="63">
      <c r="D63" s="143"/>
    </row>
    <row r="64">
      <c r="D64" s="143"/>
    </row>
    <row r="65">
      <c r="D65" s="143"/>
    </row>
    <row r="66">
      <c r="D66" s="143"/>
    </row>
    <row r="67">
      <c r="D67" s="143"/>
    </row>
    <row r="68">
      <c r="D68" s="143"/>
    </row>
    <row r="69">
      <c r="D69" s="143"/>
    </row>
    <row r="70">
      <c r="D70" s="143"/>
    </row>
    <row r="71">
      <c r="D71" s="143"/>
    </row>
    <row r="72">
      <c r="D72" s="143"/>
    </row>
    <row r="73">
      <c r="D73" s="143"/>
    </row>
    <row r="74">
      <c r="D74" s="143"/>
    </row>
    <row r="75">
      <c r="D75" s="143"/>
    </row>
    <row r="76">
      <c r="D76" s="143"/>
    </row>
    <row r="77">
      <c r="D77" s="143"/>
    </row>
    <row r="78">
      <c r="D78" s="143"/>
    </row>
    <row r="79">
      <c r="D79" s="143"/>
    </row>
    <row r="80">
      <c r="D80" s="143"/>
    </row>
    <row r="81">
      <c r="D81" s="143"/>
    </row>
    <row r="82">
      <c r="D82" s="143"/>
    </row>
    <row r="83">
      <c r="D83" s="143"/>
    </row>
    <row r="84">
      <c r="D84" s="143"/>
    </row>
    <row r="85">
      <c r="D85" s="143"/>
    </row>
    <row r="86">
      <c r="D86" s="143"/>
    </row>
    <row r="87">
      <c r="D87" s="143"/>
    </row>
    <row r="88">
      <c r="D88" s="143"/>
    </row>
    <row r="89">
      <c r="D89" s="143"/>
    </row>
    <row r="90">
      <c r="D90" s="143"/>
    </row>
    <row r="91">
      <c r="D91" s="143"/>
    </row>
    <row r="92">
      <c r="D92" s="143"/>
    </row>
    <row r="93">
      <c r="D93" s="143"/>
    </row>
    <row r="94">
      <c r="D94" s="143"/>
    </row>
    <row r="95">
      <c r="D95" s="143"/>
    </row>
    <row r="96">
      <c r="D96" s="143"/>
    </row>
    <row r="97">
      <c r="D97" s="143"/>
    </row>
    <row r="98">
      <c r="D98" s="143"/>
    </row>
    <row r="99">
      <c r="D99" s="143"/>
    </row>
    <row r="100">
      <c r="D100" s="143"/>
    </row>
    <row r="101">
      <c r="D101" s="143"/>
    </row>
    <row r="102">
      <c r="D102" s="143"/>
    </row>
    <row r="103">
      <c r="D103" s="143"/>
    </row>
    <row r="104">
      <c r="D104" s="143"/>
    </row>
    <row r="105">
      <c r="D105" s="143"/>
    </row>
    <row r="106">
      <c r="D106" s="143"/>
    </row>
    <row r="107">
      <c r="D107" s="143"/>
    </row>
    <row r="108">
      <c r="D108" s="143"/>
    </row>
    <row r="109">
      <c r="D109" s="143"/>
    </row>
    <row r="110">
      <c r="D110" s="143"/>
    </row>
    <row r="111">
      <c r="D111" s="143"/>
    </row>
    <row r="112">
      <c r="D112" s="143"/>
    </row>
    <row r="113">
      <c r="D113" s="143"/>
    </row>
    <row r="114">
      <c r="D114" s="143"/>
    </row>
    <row r="115">
      <c r="D115" s="143"/>
    </row>
    <row r="116">
      <c r="D116" s="143"/>
    </row>
    <row r="117">
      <c r="D117" s="143"/>
    </row>
    <row r="118">
      <c r="D118" s="143"/>
    </row>
    <row r="119">
      <c r="D119" s="143"/>
    </row>
    <row r="120">
      <c r="D120" s="143"/>
    </row>
    <row r="121">
      <c r="D121" s="143"/>
    </row>
    <row r="122">
      <c r="D122" s="143"/>
    </row>
    <row r="123">
      <c r="D123" s="143"/>
    </row>
    <row r="124">
      <c r="D124" s="143"/>
    </row>
    <row r="125">
      <c r="D125" s="143"/>
    </row>
    <row r="126">
      <c r="D126" s="143"/>
    </row>
    <row r="127">
      <c r="D127" s="143"/>
    </row>
    <row r="128">
      <c r="D128" s="143"/>
    </row>
    <row r="129">
      <c r="D129" s="143"/>
    </row>
    <row r="130">
      <c r="D130" s="143"/>
    </row>
    <row r="131">
      <c r="D131" s="143"/>
    </row>
    <row r="132">
      <c r="D132" s="143"/>
    </row>
    <row r="133">
      <c r="D133" s="143"/>
    </row>
    <row r="134">
      <c r="D134" s="143"/>
    </row>
    <row r="135">
      <c r="D135" s="143"/>
    </row>
    <row r="136">
      <c r="D136" s="143"/>
    </row>
    <row r="137">
      <c r="D137" s="143"/>
    </row>
    <row r="138">
      <c r="D138" s="143"/>
    </row>
    <row r="139">
      <c r="D139" s="143"/>
    </row>
    <row r="140">
      <c r="D140" s="143"/>
    </row>
    <row r="141">
      <c r="D141" s="143"/>
    </row>
    <row r="142">
      <c r="D142" s="143"/>
    </row>
    <row r="143">
      <c r="D143" s="143"/>
    </row>
    <row r="144">
      <c r="D144" s="143"/>
    </row>
    <row r="145">
      <c r="D145" s="143"/>
    </row>
    <row r="146">
      <c r="D146" s="143"/>
    </row>
    <row r="147">
      <c r="D147" s="143"/>
    </row>
    <row r="148">
      <c r="D148" s="143"/>
    </row>
    <row r="149">
      <c r="D149" s="143"/>
    </row>
    <row r="150">
      <c r="D150" s="143"/>
    </row>
    <row r="151">
      <c r="D151" s="143"/>
    </row>
    <row r="152">
      <c r="D152" s="143"/>
    </row>
    <row r="153">
      <c r="D153" s="143"/>
    </row>
    <row r="154">
      <c r="D154" s="143"/>
    </row>
    <row r="155">
      <c r="D155" s="143"/>
    </row>
    <row r="156">
      <c r="D156" s="143"/>
    </row>
    <row r="157">
      <c r="D157" s="143"/>
    </row>
    <row r="158">
      <c r="D158" s="143"/>
    </row>
    <row r="159">
      <c r="D159" s="143"/>
    </row>
    <row r="160">
      <c r="D160" s="143"/>
    </row>
    <row r="161">
      <c r="D161" s="143"/>
    </row>
    <row r="162">
      <c r="D162" s="143"/>
    </row>
    <row r="163">
      <c r="D163" s="143"/>
    </row>
    <row r="164">
      <c r="D164" s="143"/>
    </row>
    <row r="165">
      <c r="D165" s="143"/>
    </row>
    <row r="166">
      <c r="D166" s="143"/>
    </row>
    <row r="167">
      <c r="D167" s="143"/>
    </row>
    <row r="168">
      <c r="D168" s="143"/>
    </row>
    <row r="169">
      <c r="D169" s="143"/>
    </row>
    <row r="170">
      <c r="D170" s="143"/>
    </row>
    <row r="171">
      <c r="D171" s="143"/>
    </row>
    <row r="172">
      <c r="D172" s="143"/>
    </row>
    <row r="173">
      <c r="D173" s="143"/>
    </row>
    <row r="174">
      <c r="D174" s="143"/>
    </row>
    <row r="175">
      <c r="D175" s="143"/>
    </row>
    <row r="176">
      <c r="D176" s="143"/>
    </row>
    <row r="177">
      <c r="D177" s="143"/>
    </row>
    <row r="178">
      <c r="D178" s="143"/>
    </row>
    <row r="179">
      <c r="D179" s="143"/>
    </row>
    <row r="180">
      <c r="D180" s="143"/>
    </row>
    <row r="181">
      <c r="D181" s="143"/>
    </row>
    <row r="182">
      <c r="D182" s="143"/>
    </row>
    <row r="183">
      <c r="D183" s="143"/>
    </row>
    <row r="184">
      <c r="D184" s="143"/>
    </row>
    <row r="185">
      <c r="D185" s="143"/>
    </row>
    <row r="186">
      <c r="D186" s="143"/>
    </row>
    <row r="187">
      <c r="D187" s="143"/>
    </row>
    <row r="188">
      <c r="D188" s="143"/>
    </row>
    <row r="189">
      <c r="D189" s="143"/>
    </row>
    <row r="190">
      <c r="D190" s="143"/>
    </row>
    <row r="191">
      <c r="D191" s="143"/>
    </row>
    <row r="192">
      <c r="D192" s="143"/>
    </row>
    <row r="193">
      <c r="D193" s="143"/>
    </row>
    <row r="194">
      <c r="D194" s="143"/>
    </row>
    <row r="195">
      <c r="D195" s="143"/>
    </row>
    <row r="196">
      <c r="D196" s="143"/>
    </row>
    <row r="197">
      <c r="D197" s="143"/>
    </row>
    <row r="198">
      <c r="D198" s="143"/>
    </row>
    <row r="199">
      <c r="D199" s="143"/>
    </row>
    <row r="200">
      <c r="D200" s="143"/>
    </row>
    <row r="201">
      <c r="D201" s="143"/>
    </row>
    <row r="202">
      <c r="D202" s="143"/>
    </row>
    <row r="203">
      <c r="D203" s="143"/>
    </row>
    <row r="204">
      <c r="D204" s="143"/>
    </row>
    <row r="205">
      <c r="D205" s="143"/>
    </row>
    <row r="206">
      <c r="D206" s="143"/>
    </row>
    <row r="207">
      <c r="D207" s="143"/>
    </row>
    <row r="208">
      <c r="D208" s="143"/>
    </row>
    <row r="209">
      <c r="D209" s="143"/>
    </row>
    <row r="210">
      <c r="D210" s="143"/>
    </row>
    <row r="211">
      <c r="D211" s="143"/>
    </row>
    <row r="212">
      <c r="D212" s="143"/>
    </row>
    <row r="213">
      <c r="D213" s="143"/>
    </row>
    <row r="214">
      <c r="D214" s="143"/>
    </row>
    <row r="215">
      <c r="D215" s="143"/>
    </row>
    <row r="216">
      <c r="D216" s="143"/>
    </row>
    <row r="217">
      <c r="D217" s="143"/>
    </row>
    <row r="218">
      <c r="D218" s="143"/>
    </row>
    <row r="219">
      <c r="D219" s="143"/>
    </row>
    <row r="220">
      <c r="D220" s="143"/>
    </row>
    <row r="221">
      <c r="D221" s="143"/>
    </row>
    <row r="222">
      <c r="D222" s="143"/>
    </row>
    <row r="223">
      <c r="D223" s="143"/>
    </row>
    <row r="224">
      <c r="D224" s="143"/>
    </row>
    <row r="225">
      <c r="D225" s="143"/>
    </row>
    <row r="226">
      <c r="D226" s="143"/>
    </row>
    <row r="227">
      <c r="D227" s="143"/>
    </row>
    <row r="228">
      <c r="D228" s="143"/>
    </row>
    <row r="229">
      <c r="D229" s="143"/>
    </row>
    <row r="230">
      <c r="D230" s="143"/>
    </row>
    <row r="231">
      <c r="D231" s="143"/>
    </row>
    <row r="232">
      <c r="D232" s="143"/>
    </row>
    <row r="233">
      <c r="D233" s="143"/>
    </row>
    <row r="234">
      <c r="D234" s="143"/>
    </row>
    <row r="235">
      <c r="D235" s="143"/>
    </row>
    <row r="236">
      <c r="D236" s="143"/>
    </row>
    <row r="237">
      <c r="D237" s="143"/>
    </row>
    <row r="238">
      <c r="D238" s="143"/>
    </row>
    <row r="239">
      <c r="D239" s="143"/>
    </row>
    <row r="240">
      <c r="D240" s="143"/>
    </row>
    <row r="241">
      <c r="D241" s="143"/>
    </row>
    <row r="242">
      <c r="D242" s="143"/>
    </row>
    <row r="243">
      <c r="D243" s="143"/>
    </row>
    <row r="244">
      <c r="D244" s="143"/>
    </row>
    <row r="245">
      <c r="D245" s="143"/>
    </row>
    <row r="246">
      <c r="D246" s="143"/>
    </row>
    <row r="247">
      <c r="D247" s="143"/>
    </row>
    <row r="248">
      <c r="D248" s="143"/>
    </row>
    <row r="249">
      <c r="D249" s="143"/>
    </row>
    <row r="250">
      <c r="D250" s="143"/>
    </row>
    <row r="251">
      <c r="D251" s="143"/>
    </row>
    <row r="252">
      <c r="D252" s="143"/>
    </row>
    <row r="253">
      <c r="D253" s="143"/>
    </row>
    <row r="254">
      <c r="D254" s="143"/>
    </row>
    <row r="255">
      <c r="D255" s="143"/>
    </row>
    <row r="256">
      <c r="D256" s="143"/>
    </row>
    <row r="257">
      <c r="D257" s="143"/>
    </row>
    <row r="258">
      <c r="D258" s="143"/>
    </row>
    <row r="259">
      <c r="D259" s="143"/>
    </row>
    <row r="260">
      <c r="D260" s="143"/>
    </row>
    <row r="261">
      <c r="D261" s="143"/>
    </row>
    <row r="262">
      <c r="D262" s="143"/>
    </row>
    <row r="263">
      <c r="D263" s="143"/>
    </row>
    <row r="264">
      <c r="D264" s="143"/>
    </row>
    <row r="265">
      <c r="D265" s="143"/>
    </row>
    <row r="266">
      <c r="D266" s="143"/>
    </row>
    <row r="267">
      <c r="D267" s="143"/>
    </row>
    <row r="268">
      <c r="D268" s="143"/>
    </row>
    <row r="269">
      <c r="D269" s="143"/>
    </row>
    <row r="270">
      <c r="D270" s="143"/>
    </row>
    <row r="271">
      <c r="D271" s="143"/>
    </row>
    <row r="272">
      <c r="D272" s="143"/>
    </row>
    <row r="273">
      <c r="D273" s="143"/>
    </row>
    <row r="274">
      <c r="D274" s="143"/>
    </row>
    <row r="275">
      <c r="D275" s="143"/>
    </row>
    <row r="276">
      <c r="D276" s="143"/>
    </row>
    <row r="277">
      <c r="D277" s="143"/>
    </row>
    <row r="278">
      <c r="D278" s="143"/>
    </row>
    <row r="279">
      <c r="D279" s="143"/>
    </row>
    <row r="280">
      <c r="D280" s="143"/>
    </row>
    <row r="281">
      <c r="D281" s="143"/>
    </row>
    <row r="282">
      <c r="D282" s="143"/>
    </row>
    <row r="283">
      <c r="D283" s="143"/>
    </row>
    <row r="284">
      <c r="D284" s="143"/>
    </row>
    <row r="285">
      <c r="D285" s="143"/>
    </row>
    <row r="286">
      <c r="D286" s="143"/>
    </row>
    <row r="287">
      <c r="D287" s="143"/>
    </row>
    <row r="288">
      <c r="D288" s="143"/>
    </row>
    <row r="289">
      <c r="D289" s="143"/>
    </row>
    <row r="290">
      <c r="D290" s="143"/>
    </row>
    <row r="291">
      <c r="D291" s="143"/>
    </row>
    <row r="292">
      <c r="D292" s="143"/>
    </row>
    <row r="293">
      <c r="D293" s="143"/>
    </row>
    <row r="294">
      <c r="D294" s="143"/>
    </row>
    <row r="295">
      <c r="D295" s="143"/>
    </row>
    <row r="296">
      <c r="D296" s="143"/>
    </row>
    <row r="297">
      <c r="D297" s="143"/>
    </row>
    <row r="298">
      <c r="D298" s="143"/>
    </row>
    <row r="299">
      <c r="D299" s="143"/>
    </row>
    <row r="300">
      <c r="D300" s="143"/>
    </row>
    <row r="301">
      <c r="D301" s="143"/>
    </row>
    <row r="302">
      <c r="D302" s="143"/>
    </row>
    <row r="303">
      <c r="D303" s="143"/>
    </row>
    <row r="304">
      <c r="D304" s="143"/>
    </row>
    <row r="305">
      <c r="D305" s="143"/>
    </row>
    <row r="306">
      <c r="D306" s="143"/>
    </row>
    <row r="307">
      <c r="D307" s="143"/>
    </row>
    <row r="308">
      <c r="D308" s="143"/>
    </row>
    <row r="309">
      <c r="D309" s="143"/>
    </row>
    <row r="310">
      <c r="D310" s="143"/>
    </row>
    <row r="311">
      <c r="D311" s="143"/>
    </row>
    <row r="312">
      <c r="D312" s="143"/>
    </row>
    <row r="313">
      <c r="D313" s="143"/>
    </row>
    <row r="314">
      <c r="D314" s="143"/>
    </row>
    <row r="315">
      <c r="D315" s="143"/>
    </row>
    <row r="316">
      <c r="D316" s="143"/>
    </row>
    <row r="317">
      <c r="D317" s="143"/>
    </row>
    <row r="318">
      <c r="D318" s="143"/>
    </row>
    <row r="319">
      <c r="D319" s="143"/>
    </row>
    <row r="320">
      <c r="D320" s="143"/>
    </row>
    <row r="321">
      <c r="D321" s="143"/>
    </row>
    <row r="322">
      <c r="D322" s="143"/>
    </row>
    <row r="323">
      <c r="D323" s="143"/>
    </row>
    <row r="324">
      <c r="D324" s="143"/>
    </row>
    <row r="325">
      <c r="D325" s="143"/>
    </row>
    <row r="326">
      <c r="D326" s="143"/>
    </row>
    <row r="327">
      <c r="D327" s="143"/>
    </row>
    <row r="328">
      <c r="D328" s="143"/>
    </row>
    <row r="329">
      <c r="D329" s="143"/>
    </row>
    <row r="330">
      <c r="D330" s="143"/>
    </row>
    <row r="331">
      <c r="D331" s="143"/>
    </row>
    <row r="332">
      <c r="D332" s="143"/>
    </row>
    <row r="333">
      <c r="D333" s="143"/>
    </row>
    <row r="334">
      <c r="D334" s="143"/>
    </row>
    <row r="335">
      <c r="D335" s="143"/>
    </row>
    <row r="336">
      <c r="D336" s="143"/>
    </row>
    <row r="337">
      <c r="D337" s="143"/>
    </row>
    <row r="338">
      <c r="D338" s="143"/>
    </row>
    <row r="339">
      <c r="D339" s="143"/>
    </row>
    <row r="340">
      <c r="D340" s="143"/>
    </row>
    <row r="341">
      <c r="D341" s="143"/>
    </row>
    <row r="342">
      <c r="D342" s="143"/>
    </row>
    <row r="343">
      <c r="D343" s="143"/>
    </row>
    <row r="344">
      <c r="D344" s="143"/>
    </row>
    <row r="345">
      <c r="D345" s="143"/>
    </row>
    <row r="346">
      <c r="D346" s="143"/>
    </row>
    <row r="347">
      <c r="D347" s="143"/>
    </row>
    <row r="348">
      <c r="D348" s="143"/>
    </row>
    <row r="349">
      <c r="D349" s="143"/>
    </row>
    <row r="350">
      <c r="D350" s="143"/>
    </row>
    <row r="351">
      <c r="D351" s="143"/>
    </row>
    <row r="352">
      <c r="D352" s="143"/>
    </row>
    <row r="353">
      <c r="D353" s="143"/>
    </row>
    <row r="354">
      <c r="D354" s="143"/>
    </row>
    <row r="355">
      <c r="D355" s="143"/>
    </row>
    <row r="356">
      <c r="D356" s="143"/>
    </row>
    <row r="357">
      <c r="D357" s="143"/>
    </row>
    <row r="358">
      <c r="D358" s="143"/>
    </row>
    <row r="359">
      <c r="D359" s="143"/>
    </row>
    <row r="360">
      <c r="D360" s="143"/>
    </row>
    <row r="361">
      <c r="D361" s="143"/>
    </row>
    <row r="362">
      <c r="D362" s="143"/>
    </row>
    <row r="363">
      <c r="D363" s="143"/>
    </row>
    <row r="364">
      <c r="D364" s="143"/>
    </row>
    <row r="365">
      <c r="D365" s="143"/>
    </row>
    <row r="366">
      <c r="D366" s="143"/>
    </row>
    <row r="367">
      <c r="D367" s="143"/>
    </row>
    <row r="368">
      <c r="D368" s="143"/>
    </row>
    <row r="369">
      <c r="D369" s="143"/>
    </row>
    <row r="370">
      <c r="D370" s="143"/>
    </row>
    <row r="371">
      <c r="D371" s="143"/>
    </row>
    <row r="372">
      <c r="D372" s="143"/>
    </row>
    <row r="373">
      <c r="D373" s="143"/>
    </row>
    <row r="374">
      <c r="D374" s="143"/>
    </row>
    <row r="375">
      <c r="D375" s="143"/>
    </row>
    <row r="376">
      <c r="D376" s="143"/>
    </row>
    <row r="377">
      <c r="D377" s="143"/>
    </row>
    <row r="378">
      <c r="D378" s="143"/>
    </row>
    <row r="379">
      <c r="D379" s="143"/>
    </row>
    <row r="380">
      <c r="D380" s="143"/>
    </row>
    <row r="381">
      <c r="D381" s="143"/>
    </row>
    <row r="382">
      <c r="D382" s="143"/>
    </row>
    <row r="383">
      <c r="D383" s="143"/>
    </row>
    <row r="384">
      <c r="D384" s="143"/>
    </row>
    <row r="385">
      <c r="D385" s="143"/>
    </row>
    <row r="386">
      <c r="D386" s="143"/>
    </row>
    <row r="387">
      <c r="D387" s="143"/>
    </row>
    <row r="388">
      <c r="D388" s="143"/>
    </row>
    <row r="389">
      <c r="D389" s="143"/>
    </row>
    <row r="390">
      <c r="D390" s="143"/>
    </row>
    <row r="391">
      <c r="D391" s="143"/>
    </row>
    <row r="392">
      <c r="D392" s="143"/>
    </row>
    <row r="393">
      <c r="D393" s="143"/>
    </row>
    <row r="394">
      <c r="D394" s="143"/>
    </row>
    <row r="395">
      <c r="D395" s="143"/>
    </row>
    <row r="396">
      <c r="D396" s="143"/>
    </row>
    <row r="397">
      <c r="D397" s="143"/>
    </row>
    <row r="398">
      <c r="D398" s="143"/>
    </row>
    <row r="399">
      <c r="D399" s="143"/>
    </row>
    <row r="400">
      <c r="D400" s="143"/>
    </row>
    <row r="401">
      <c r="D401" s="143"/>
    </row>
    <row r="402">
      <c r="D402" s="143"/>
    </row>
    <row r="403">
      <c r="D403" s="143"/>
    </row>
    <row r="404">
      <c r="D404" s="143"/>
    </row>
    <row r="405">
      <c r="D405" s="143"/>
    </row>
    <row r="406">
      <c r="D406" s="143"/>
    </row>
    <row r="407">
      <c r="D407" s="143"/>
    </row>
    <row r="408">
      <c r="D408" s="143"/>
    </row>
    <row r="409">
      <c r="D409" s="143"/>
    </row>
    <row r="410">
      <c r="D410" s="143"/>
    </row>
    <row r="411">
      <c r="D411" s="143"/>
    </row>
    <row r="412">
      <c r="D412" s="143"/>
    </row>
    <row r="413">
      <c r="D413" s="143"/>
    </row>
    <row r="414">
      <c r="D414" s="143"/>
    </row>
    <row r="415">
      <c r="D415" s="143"/>
    </row>
    <row r="416">
      <c r="D416" s="143"/>
    </row>
    <row r="417">
      <c r="D417" s="143"/>
    </row>
    <row r="418">
      <c r="D418" s="143"/>
    </row>
    <row r="419">
      <c r="D419" s="143"/>
    </row>
    <row r="420">
      <c r="D420" s="143"/>
    </row>
    <row r="421">
      <c r="D421" s="143"/>
    </row>
    <row r="422">
      <c r="D422" s="143"/>
    </row>
    <row r="423">
      <c r="D423" s="143"/>
    </row>
    <row r="424">
      <c r="D424" s="143"/>
    </row>
    <row r="425">
      <c r="D425" s="143"/>
    </row>
    <row r="426">
      <c r="D426" s="143"/>
    </row>
    <row r="427">
      <c r="D427" s="143"/>
    </row>
    <row r="428">
      <c r="D428" s="143"/>
    </row>
    <row r="429">
      <c r="D429" s="143"/>
    </row>
    <row r="430">
      <c r="D430" s="143"/>
    </row>
    <row r="431">
      <c r="D431" s="143"/>
    </row>
    <row r="432">
      <c r="D432" s="143"/>
    </row>
    <row r="433">
      <c r="D433" s="143"/>
    </row>
    <row r="434">
      <c r="D434" s="143"/>
    </row>
    <row r="435">
      <c r="D435" s="143"/>
    </row>
    <row r="436">
      <c r="D436" s="143"/>
    </row>
    <row r="437">
      <c r="D437" s="143"/>
    </row>
    <row r="438">
      <c r="D438" s="143"/>
    </row>
    <row r="439">
      <c r="D439" s="143"/>
    </row>
    <row r="440">
      <c r="D440" s="143"/>
    </row>
    <row r="441">
      <c r="D441" s="143"/>
    </row>
    <row r="442">
      <c r="D442" s="143"/>
    </row>
    <row r="443">
      <c r="D443" s="143"/>
    </row>
    <row r="444">
      <c r="D444" s="143"/>
    </row>
    <row r="445">
      <c r="D445" s="143"/>
    </row>
    <row r="446">
      <c r="D446" s="143"/>
    </row>
    <row r="447">
      <c r="D447" s="143"/>
    </row>
    <row r="448">
      <c r="D448" s="143"/>
    </row>
    <row r="449">
      <c r="D449" s="143"/>
    </row>
    <row r="450">
      <c r="D450" s="143"/>
    </row>
    <row r="451">
      <c r="D451" s="143"/>
    </row>
    <row r="452">
      <c r="D452" s="143"/>
    </row>
    <row r="453">
      <c r="D453" s="143"/>
    </row>
    <row r="454">
      <c r="D454" s="143"/>
    </row>
    <row r="455">
      <c r="D455" s="143"/>
    </row>
    <row r="456">
      <c r="D456" s="143"/>
    </row>
    <row r="457">
      <c r="D457" s="143"/>
    </row>
    <row r="458">
      <c r="D458" s="143"/>
    </row>
    <row r="459">
      <c r="D459" s="143"/>
    </row>
    <row r="460">
      <c r="D460" s="143"/>
    </row>
    <row r="461">
      <c r="D461" s="143"/>
    </row>
    <row r="462">
      <c r="D462" s="143"/>
    </row>
    <row r="463">
      <c r="D463" s="143"/>
    </row>
    <row r="464">
      <c r="D464" s="143"/>
    </row>
    <row r="465">
      <c r="D465" s="143"/>
    </row>
    <row r="466">
      <c r="D466" s="143"/>
    </row>
    <row r="467">
      <c r="D467" s="143"/>
    </row>
    <row r="468">
      <c r="D468" s="143"/>
    </row>
    <row r="469">
      <c r="D469" s="143"/>
    </row>
    <row r="470">
      <c r="D470" s="143"/>
    </row>
    <row r="471">
      <c r="D471" s="143"/>
    </row>
    <row r="472">
      <c r="D472" s="143"/>
    </row>
    <row r="473">
      <c r="D473" s="143"/>
    </row>
    <row r="474">
      <c r="D474" s="143"/>
    </row>
    <row r="475">
      <c r="D475" s="143"/>
    </row>
    <row r="476">
      <c r="D476" s="143"/>
    </row>
    <row r="477">
      <c r="D477" s="143"/>
    </row>
    <row r="478">
      <c r="D478" s="143"/>
    </row>
    <row r="479">
      <c r="D479" s="143"/>
    </row>
    <row r="480">
      <c r="D480" s="143"/>
    </row>
    <row r="481">
      <c r="D481" s="143"/>
    </row>
    <row r="482">
      <c r="D482" s="143"/>
    </row>
    <row r="483">
      <c r="D483" s="143"/>
    </row>
    <row r="484">
      <c r="D484" s="143"/>
    </row>
    <row r="485">
      <c r="D485" s="143"/>
    </row>
    <row r="486">
      <c r="D486" s="143"/>
    </row>
    <row r="487">
      <c r="D487" s="143"/>
    </row>
    <row r="488">
      <c r="D488" s="143"/>
    </row>
    <row r="489">
      <c r="D489" s="143"/>
    </row>
    <row r="490">
      <c r="D490" s="143"/>
    </row>
    <row r="491">
      <c r="D491" s="143"/>
    </row>
    <row r="492">
      <c r="D492" s="143"/>
    </row>
    <row r="493">
      <c r="D493" s="143"/>
    </row>
    <row r="494">
      <c r="D494" s="143"/>
    </row>
    <row r="495">
      <c r="D495" s="143"/>
    </row>
    <row r="496">
      <c r="D496" s="143"/>
    </row>
    <row r="497">
      <c r="D497" s="143"/>
    </row>
    <row r="498">
      <c r="D498" s="143"/>
    </row>
    <row r="499">
      <c r="D499" s="143"/>
    </row>
    <row r="500">
      <c r="D500" s="143"/>
    </row>
    <row r="501">
      <c r="D501" s="143"/>
    </row>
    <row r="502">
      <c r="D502" s="143"/>
    </row>
    <row r="503">
      <c r="D503" s="143"/>
    </row>
    <row r="504">
      <c r="D504" s="143"/>
    </row>
    <row r="505">
      <c r="D505" s="143"/>
    </row>
    <row r="506">
      <c r="D506" s="143"/>
    </row>
    <row r="507">
      <c r="D507" s="143"/>
    </row>
    <row r="508">
      <c r="D508" s="143"/>
    </row>
    <row r="509">
      <c r="D509" s="143"/>
    </row>
    <row r="510">
      <c r="D510" s="143"/>
    </row>
    <row r="511">
      <c r="D511" s="143"/>
    </row>
    <row r="512">
      <c r="D512" s="143"/>
    </row>
    <row r="513">
      <c r="D513" s="143"/>
    </row>
    <row r="514">
      <c r="D514" s="143"/>
    </row>
    <row r="515">
      <c r="D515" s="143"/>
    </row>
    <row r="516">
      <c r="D516" s="143"/>
    </row>
    <row r="517">
      <c r="D517" s="143"/>
    </row>
    <row r="518">
      <c r="D518" s="143"/>
    </row>
    <row r="519">
      <c r="D519" s="143"/>
    </row>
    <row r="520">
      <c r="D520" s="143"/>
    </row>
    <row r="521">
      <c r="D521" s="143"/>
    </row>
    <row r="522">
      <c r="D522" s="143"/>
    </row>
    <row r="523">
      <c r="D523" s="143"/>
    </row>
    <row r="524">
      <c r="D524" s="143"/>
    </row>
    <row r="525">
      <c r="D525" s="143"/>
    </row>
    <row r="526">
      <c r="D526" s="143"/>
    </row>
    <row r="527">
      <c r="D527" s="143"/>
    </row>
    <row r="528">
      <c r="D528" s="143"/>
    </row>
    <row r="529">
      <c r="D529" s="143"/>
    </row>
    <row r="530">
      <c r="D530" s="143"/>
    </row>
    <row r="531">
      <c r="D531" s="143"/>
    </row>
    <row r="532">
      <c r="D532" s="143"/>
    </row>
    <row r="533">
      <c r="D533" s="143"/>
    </row>
    <row r="534">
      <c r="D534" s="143"/>
    </row>
    <row r="535">
      <c r="D535" s="143"/>
    </row>
    <row r="536">
      <c r="D536" s="143"/>
    </row>
    <row r="537">
      <c r="D537" s="143"/>
    </row>
    <row r="538">
      <c r="D538" s="143"/>
    </row>
    <row r="539">
      <c r="D539" s="143"/>
    </row>
    <row r="540">
      <c r="D540" s="143"/>
    </row>
    <row r="541">
      <c r="D541" s="143"/>
    </row>
    <row r="542">
      <c r="D542" s="143"/>
    </row>
    <row r="543">
      <c r="D543" s="143"/>
    </row>
    <row r="544">
      <c r="D544" s="143"/>
    </row>
    <row r="545">
      <c r="D545" s="143"/>
    </row>
    <row r="546">
      <c r="D546" s="143"/>
    </row>
    <row r="547">
      <c r="D547" s="143"/>
    </row>
    <row r="548">
      <c r="D548" s="143"/>
    </row>
    <row r="549">
      <c r="D549" s="143"/>
    </row>
    <row r="550">
      <c r="D550" s="143"/>
    </row>
    <row r="551">
      <c r="D551" s="143"/>
    </row>
    <row r="552">
      <c r="D552" s="143"/>
    </row>
    <row r="553">
      <c r="D553" s="143"/>
    </row>
    <row r="554">
      <c r="D554" s="143"/>
    </row>
    <row r="555">
      <c r="D555" s="143"/>
    </row>
    <row r="556">
      <c r="D556" s="143"/>
    </row>
    <row r="557">
      <c r="D557" s="143"/>
    </row>
    <row r="558">
      <c r="D558" s="143"/>
    </row>
    <row r="559">
      <c r="D559" s="143"/>
    </row>
    <row r="560">
      <c r="D560" s="143"/>
    </row>
    <row r="561">
      <c r="D561" s="143"/>
    </row>
    <row r="562">
      <c r="D562" s="143"/>
    </row>
    <row r="563">
      <c r="D563" s="143"/>
    </row>
    <row r="564">
      <c r="D564" s="143"/>
    </row>
    <row r="565">
      <c r="D565" s="143"/>
    </row>
    <row r="566">
      <c r="D566" s="143"/>
    </row>
    <row r="567">
      <c r="D567" s="143"/>
    </row>
    <row r="568">
      <c r="D568" s="143"/>
    </row>
    <row r="569">
      <c r="D569" s="143"/>
    </row>
    <row r="570">
      <c r="D570" s="143"/>
    </row>
    <row r="571">
      <c r="D571" s="143"/>
    </row>
    <row r="572">
      <c r="D572" s="143"/>
    </row>
    <row r="573">
      <c r="D573" s="143"/>
    </row>
    <row r="574">
      <c r="D574" s="143"/>
    </row>
    <row r="575">
      <c r="D575" s="143"/>
    </row>
    <row r="576">
      <c r="D576" s="143"/>
    </row>
    <row r="577">
      <c r="D577" s="143"/>
    </row>
    <row r="578">
      <c r="D578" s="143"/>
    </row>
    <row r="579">
      <c r="D579" s="143"/>
    </row>
    <row r="580">
      <c r="D580" s="143"/>
    </row>
    <row r="581">
      <c r="D581" s="143"/>
    </row>
    <row r="582">
      <c r="D582" s="143"/>
    </row>
    <row r="583">
      <c r="D583" s="143"/>
    </row>
    <row r="584">
      <c r="D584" s="143"/>
    </row>
    <row r="585">
      <c r="D585" s="143"/>
    </row>
    <row r="586">
      <c r="D586" s="143"/>
    </row>
    <row r="587">
      <c r="D587" s="143"/>
    </row>
    <row r="588">
      <c r="D588" s="143"/>
    </row>
    <row r="589">
      <c r="D589" s="143"/>
    </row>
    <row r="590">
      <c r="D590" s="143"/>
    </row>
    <row r="591">
      <c r="D591" s="143"/>
    </row>
    <row r="592">
      <c r="D592" s="143"/>
    </row>
    <row r="593">
      <c r="D593" s="143"/>
    </row>
    <row r="594">
      <c r="D594" s="143"/>
    </row>
    <row r="595">
      <c r="D595" s="143"/>
    </row>
    <row r="596">
      <c r="D596" s="143"/>
    </row>
    <row r="597">
      <c r="D597" s="143"/>
    </row>
    <row r="598">
      <c r="D598" s="143"/>
    </row>
    <row r="599">
      <c r="D599" s="143"/>
    </row>
    <row r="600">
      <c r="D600" s="143"/>
    </row>
    <row r="601">
      <c r="D601" s="143"/>
    </row>
    <row r="602">
      <c r="D602" s="143"/>
    </row>
    <row r="603">
      <c r="D603" s="143"/>
    </row>
    <row r="604">
      <c r="D604" s="143"/>
    </row>
    <row r="605">
      <c r="D605" s="143"/>
    </row>
    <row r="606">
      <c r="D606" s="143"/>
    </row>
    <row r="607">
      <c r="D607" s="143"/>
    </row>
    <row r="608">
      <c r="D608" s="143"/>
    </row>
    <row r="609">
      <c r="D609" s="143"/>
    </row>
    <row r="610">
      <c r="D610" s="143"/>
    </row>
    <row r="611">
      <c r="D611" s="143"/>
    </row>
    <row r="612">
      <c r="D612" s="143"/>
    </row>
    <row r="613">
      <c r="D613" s="143"/>
    </row>
    <row r="614">
      <c r="D614" s="143"/>
    </row>
    <row r="615">
      <c r="D615" s="143"/>
    </row>
    <row r="616">
      <c r="D616" s="143"/>
    </row>
    <row r="617">
      <c r="D617" s="143"/>
    </row>
    <row r="618">
      <c r="D618" s="143"/>
    </row>
    <row r="619">
      <c r="D619" s="143"/>
    </row>
    <row r="620">
      <c r="D620" s="143"/>
    </row>
    <row r="621">
      <c r="D621" s="143"/>
    </row>
    <row r="622">
      <c r="D622" s="143"/>
    </row>
    <row r="623">
      <c r="D623" s="143"/>
    </row>
    <row r="624">
      <c r="D624" s="143"/>
    </row>
    <row r="625">
      <c r="D625" s="143"/>
    </row>
    <row r="626">
      <c r="D626" s="143"/>
    </row>
    <row r="627">
      <c r="D627" s="143"/>
    </row>
    <row r="628">
      <c r="D628" s="143"/>
    </row>
    <row r="629">
      <c r="D629" s="143"/>
    </row>
    <row r="630">
      <c r="D630" s="143"/>
    </row>
    <row r="631">
      <c r="D631" s="143"/>
    </row>
    <row r="632">
      <c r="D632" s="143"/>
    </row>
    <row r="633">
      <c r="D633" s="143"/>
    </row>
    <row r="634">
      <c r="D634" s="143"/>
    </row>
    <row r="635">
      <c r="D635" s="143"/>
    </row>
    <row r="636">
      <c r="D636" s="143"/>
    </row>
    <row r="637">
      <c r="D637" s="143"/>
    </row>
    <row r="638">
      <c r="D638" s="143"/>
    </row>
    <row r="639">
      <c r="D639" s="143"/>
    </row>
    <row r="640">
      <c r="D640" s="143"/>
    </row>
    <row r="641">
      <c r="D641" s="143"/>
    </row>
    <row r="642">
      <c r="D642" s="143"/>
    </row>
    <row r="643">
      <c r="D643" s="143"/>
    </row>
    <row r="644">
      <c r="D644" s="143"/>
    </row>
    <row r="645">
      <c r="D645" s="143"/>
    </row>
    <row r="646">
      <c r="D646" s="143"/>
    </row>
    <row r="647">
      <c r="D647" s="143"/>
    </row>
    <row r="648">
      <c r="D648" s="143"/>
    </row>
    <row r="649">
      <c r="D649" s="143"/>
    </row>
    <row r="650">
      <c r="D650" s="143"/>
    </row>
    <row r="651">
      <c r="D651" s="143"/>
    </row>
    <row r="652">
      <c r="D652" s="143"/>
    </row>
    <row r="653">
      <c r="D653" s="143"/>
    </row>
    <row r="654">
      <c r="D654" s="143"/>
    </row>
    <row r="655">
      <c r="D655" s="143"/>
    </row>
    <row r="656">
      <c r="D656" s="143"/>
    </row>
    <row r="657">
      <c r="D657" s="143"/>
    </row>
    <row r="658">
      <c r="D658" s="143"/>
    </row>
    <row r="659">
      <c r="D659" s="143"/>
    </row>
    <row r="660">
      <c r="D660" s="143"/>
    </row>
    <row r="661">
      <c r="D661" s="143"/>
    </row>
    <row r="662">
      <c r="D662" s="143"/>
    </row>
    <row r="663">
      <c r="D663" s="143"/>
    </row>
    <row r="664">
      <c r="D664" s="143"/>
    </row>
    <row r="665">
      <c r="D665" s="143"/>
    </row>
    <row r="666">
      <c r="D666" s="143"/>
    </row>
    <row r="667">
      <c r="D667" s="143"/>
    </row>
    <row r="668">
      <c r="D668" s="143"/>
    </row>
    <row r="669">
      <c r="D669" s="143"/>
    </row>
    <row r="670">
      <c r="D670" s="143"/>
    </row>
    <row r="671">
      <c r="D671" s="143"/>
    </row>
    <row r="672">
      <c r="D672" s="143"/>
    </row>
    <row r="673">
      <c r="D673" s="143"/>
    </row>
    <row r="674">
      <c r="D674" s="143"/>
    </row>
    <row r="675">
      <c r="D675" s="143"/>
    </row>
    <row r="676">
      <c r="D676" s="143"/>
    </row>
    <row r="677">
      <c r="D677" s="143"/>
    </row>
    <row r="678">
      <c r="D678" s="143"/>
    </row>
    <row r="679">
      <c r="D679" s="143"/>
    </row>
    <row r="680">
      <c r="D680" s="143"/>
    </row>
    <row r="681">
      <c r="D681" s="143"/>
    </row>
    <row r="682">
      <c r="D682" s="143"/>
    </row>
    <row r="683">
      <c r="D683" s="143"/>
    </row>
    <row r="684">
      <c r="D684" s="143"/>
    </row>
    <row r="685">
      <c r="D685" s="143"/>
    </row>
    <row r="686">
      <c r="D686" s="143"/>
    </row>
    <row r="687">
      <c r="D687" s="143"/>
    </row>
    <row r="688">
      <c r="D688" s="143"/>
    </row>
    <row r="689">
      <c r="D689" s="143"/>
    </row>
    <row r="690">
      <c r="D690" s="143"/>
    </row>
    <row r="691">
      <c r="D691" s="143"/>
    </row>
    <row r="692">
      <c r="D692" s="143"/>
    </row>
    <row r="693">
      <c r="D693" s="143"/>
    </row>
    <row r="694">
      <c r="D694" s="143"/>
    </row>
    <row r="695">
      <c r="D695" s="143"/>
    </row>
    <row r="696">
      <c r="D696" s="143"/>
    </row>
    <row r="697">
      <c r="D697" s="143"/>
    </row>
    <row r="698">
      <c r="D698" s="143"/>
    </row>
    <row r="699">
      <c r="D699" s="143"/>
    </row>
    <row r="700">
      <c r="D700" s="143"/>
    </row>
    <row r="701">
      <c r="D701" s="143"/>
    </row>
    <row r="702">
      <c r="D702" s="143"/>
    </row>
    <row r="703">
      <c r="D703" s="143"/>
    </row>
    <row r="704">
      <c r="D704" s="143"/>
    </row>
    <row r="705">
      <c r="D705" s="143"/>
    </row>
    <row r="706">
      <c r="D706" s="143"/>
    </row>
    <row r="707">
      <c r="D707" s="143"/>
    </row>
    <row r="708">
      <c r="D708" s="143"/>
    </row>
    <row r="709">
      <c r="D709" s="143"/>
    </row>
    <row r="710">
      <c r="D710" s="143"/>
    </row>
    <row r="711">
      <c r="D711" s="143"/>
    </row>
    <row r="712">
      <c r="D712" s="143"/>
    </row>
    <row r="713">
      <c r="D713" s="143"/>
    </row>
    <row r="714">
      <c r="D714" s="143"/>
    </row>
    <row r="715">
      <c r="D715" s="143"/>
    </row>
    <row r="716">
      <c r="D716" s="143"/>
    </row>
    <row r="717">
      <c r="D717" s="143"/>
    </row>
    <row r="718">
      <c r="D718" s="143"/>
    </row>
    <row r="719">
      <c r="D719" s="143"/>
    </row>
    <row r="720">
      <c r="D720" s="143"/>
    </row>
    <row r="721">
      <c r="D721" s="143"/>
    </row>
    <row r="722">
      <c r="D722" s="143"/>
    </row>
    <row r="723">
      <c r="D723" s="143"/>
    </row>
    <row r="724">
      <c r="D724" s="143"/>
    </row>
    <row r="725">
      <c r="D725" s="143"/>
    </row>
    <row r="726">
      <c r="D726" s="143"/>
    </row>
    <row r="727">
      <c r="D727" s="143"/>
    </row>
    <row r="728">
      <c r="D728" s="143"/>
    </row>
    <row r="729">
      <c r="D729" s="143"/>
    </row>
    <row r="730">
      <c r="D730" s="143"/>
    </row>
    <row r="731">
      <c r="D731" s="143"/>
    </row>
    <row r="732">
      <c r="D732" s="143"/>
    </row>
    <row r="733">
      <c r="D733" s="143"/>
    </row>
    <row r="734">
      <c r="D734" s="143"/>
    </row>
    <row r="735">
      <c r="D735" s="143"/>
    </row>
    <row r="736">
      <c r="D736" s="143"/>
    </row>
    <row r="737">
      <c r="D737" s="143"/>
    </row>
    <row r="738">
      <c r="D738" s="143"/>
    </row>
    <row r="739">
      <c r="D739" s="143"/>
    </row>
    <row r="740">
      <c r="D740" s="143"/>
    </row>
    <row r="741">
      <c r="D741" s="143"/>
    </row>
    <row r="742">
      <c r="D742" s="143"/>
    </row>
    <row r="743">
      <c r="D743" s="143"/>
    </row>
    <row r="744">
      <c r="D744" s="143"/>
    </row>
    <row r="745">
      <c r="D745" s="143"/>
    </row>
    <row r="746">
      <c r="D746" s="143"/>
    </row>
    <row r="747">
      <c r="D747" s="143"/>
    </row>
    <row r="748">
      <c r="D748" s="143"/>
    </row>
    <row r="749">
      <c r="D749" s="143"/>
    </row>
    <row r="750">
      <c r="D750" s="143"/>
    </row>
    <row r="751">
      <c r="D751" s="143"/>
    </row>
    <row r="752">
      <c r="D752" s="143"/>
    </row>
    <row r="753">
      <c r="D753" s="143"/>
    </row>
    <row r="754">
      <c r="D754" s="143"/>
    </row>
    <row r="755">
      <c r="D755" s="143"/>
    </row>
    <row r="756">
      <c r="D756" s="143"/>
    </row>
    <row r="757">
      <c r="D757" s="143"/>
    </row>
    <row r="758">
      <c r="D758" s="143"/>
    </row>
    <row r="759">
      <c r="D759" s="143"/>
    </row>
    <row r="760">
      <c r="D760" s="143"/>
    </row>
    <row r="761">
      <c r="D761" s="143"/>
    </row>
    <row r="762">
      <c r="D762" s="143"/>
    </row>
    <row r="763">
      <c r="D763" s="143"/>
    </row>
    <row r="764">
      <c r="D764" s="143"/>
    </row>
    <row r="765">
      <c r="D765" s="143"/>
    </row>
    <row r="766">
      <c r="D766" s="143"/>
    </row>
    <row r="767">
      <c r="D767" s="143"/>
    </row>
    <row r="768">
      <c r="D768" s="143"/>
    </row>
    <row r="769">
      <c r="D769" s="143"/>
    </row>
    <row r="770">
      <c r="D770" s="143"/>
    </row>
    <row r="771">
      <c r="D771" s="143"/>
    </row>
    <row r="772">
      <c r="D772" s="143"/>
    </row>
    <row r="773">
      <c r="D773" s="143"/>
    </row>
    <row r="774">
      <c r="D774" s="143"/>
    </row>
    <row r="775">
      <c r="D775" s="143"/>
    </row>
    <row r="776">
      <c r="D776" s="143"/>
    </row>
    <row r="777">
      <c r="D777" s="143"/>
    </row>
    <row r="778">
      <c r="D778" s="143"/>
    </row>
    <row r="779">
      <c r="D779" s="143"/>
    </row>
    <row r="780">
      <c r="D780" s="143"/>
    </row>
    <row r="781">
      <c r="D781" s="143"/>
    </row>
    <row r="782">
      <c r="D782" s="143"/>
    </row>
    <row r="783">
      <c r="D783" s="143"/>
    </row>
    <row r="784">
      <c r="D784" s="143"/>
    </row>
    <row r="785">
      <c r="D785" s="143"/>
    </row>
    <row r="786">
      <c r="D786" s="143"/>
    </row>
    <row r="787">
      <c r="D787" s="143"/>
    </row>
    <row r="788">
      <c r="D788" s="143"/>
    </row>
    <row r="789">
      <c r="D789" s="143"/>
    </row>
    <row r="790">
      <c r="D790" s="143"/>
    </row>
    <row r="791">
      <c r="D791" s="143"/>
    </row>
    <row r="792">
      <c r="D792" s="143"/>
    </row>
    <row r="793">
      <c r="D793" s="143"/>
    </row>
    <row r="794">
      <c r="D794" s="143"/>
    </row>
    <row r="795">
      <c r="D795" s="143"/>
    </row>
    <row r="796">
      <c r="D796" s="143"/>
    </row>
    <row r="797">
      <c r="D797" s="143"/>
    </row>
    <row r="798">
      <c r="D798" s="143"/>
    </row>
    <row r="799">
      <c r="D799" s="143"/>
    </row>
    <row r="800">
      <c r="D800" s="143"/>
    </row>
    <row r="801">
      <c r="D801" s="143"/>
    </row>
    <row r="802">
      <c r="D802" s="143"/>
    </row>
    <row r="803">
      <c r="D803" s="143"/>
    </row>
    <row r="804">
      <c r="D804" s="143"/>
    </row>
    <row r="805">
      <c r="D805" s="143"/>
    </row>
    <row r="806">
      <c r="D806" s="143"/>
    </row>
    <row r="807">
      <c r="D807" s="143"/>
    </row>
    <row r="808">
      <c r="D808" s="143"/>
    </row>
    <row r="809">
      <c r="D809" s="143"/>
    </row>
    <row r="810">
      <c r="D810" s="143"/>
    </row>
    <row r="811">
      <c r="D811" s="143"/>
    </row>
    <row r="812">
      <c r="D812" s="143"/>
    </row>
    <row r="813">
      <c r="D813" s="143"/>
    </row>
    <row r="814">
      <c r="D814" s="143"/>
    </row>
    <row r="815">
      <c r="D815" s="143"/>
    </row>
    <row r="816">
      <c r="D816" s="143"/>
    </row>
    <row r="817">
      <c r="D817" s="143"/>
    </row>
    <row r="818">
      <c r="D818" s="143"/>
    </row>
    <row r="819">
      <c r="D819" s="143"/>
    </row>
    <row r="820">
      <c r="D820" s="143"/>
    </row>
    <row r="821">
      <c r="D821" s="143"/>
    </row>
    <row r="822">
      <c r="D822" s="143"/>
    </row>
    <row r="823">
      <c r="D823" s="143"/>
    </row>
    <row r="824">
      <c r="D824" s="143"/>
    </row>
    <row r="825">
      <c r="D825" s="143"/>
    </row>
    <row r="826">
      <c r="D826" s="143"/>
    </row>
    <row r="827">
      <c r="D827" s="143"/>
    </row>
    <row r="828">
      <c r="D828" s="143"/>
    </row>
    <row r="829">
      <c r="D829" s="143"/>
    </row>
    <row r="830">
      <c r="D830" s="143"/>
    </row>
    <row r="831">
      <c r="D831" s="143"/>
    </row>
    <row r="832">
      <c r="D832" s="143"/>
    </row>
    <row r="833">
      <c r="D833" s="143"/>
    </row>
    <row r="834">
      <c r="D834" s="143"/>
    </row>
    <row r="835">
      <c r="D835" s="143"/>
    </row>
    <row r="836">
      <c r="D836" s="143"/>
    </row>
    <row r="837">
      <c r="D837" s="143"/>
    </row>
    <row r="838">
      <c r="D838" s="143"/>
    </row>
    <row r="839">
      <c r="D839" s="143"/>
    </row>
    <row r="840">
      <c r="D840" s="143"/>
    </row>
    <row r="841">
      <c r="D841" s="143"/>
    </row>
    <row r="842">
      <c r="D842" s="143"/>
    </row>
    <row r="843">
      <c r="D843" s="143"/>
    </row>
    <row r="844">
      <c r="D844" s="143"/>
    </row>
    <row r="845">
      <c r="D845" s="143"/>
    </row>
    <row r="846">
      <c r="D846" s="143"/>
    </row>
    <row r="847">
      <c r="D847" s="143"/>
    </row>
    <row r="848">
      <c r="D848" s="143"/>
    </row>
    <row r="849">
      <c r="D849" s="143"/>
    </row>
    <row r="850">
      <c r="D850" s="143"/>
    </row>
    <row r="851">
      <c r="D851" s="143"/>
    </row>
    <row r="852">
      <c r="D852" s="143"/>
    </row>
    <row r="853">
      <c r="D853" s="143"/>
    </row>
    <row r="854">
      <c r="D854" s="143"/>
    </row>
    <row r="855">
      <c r="D855" s="143"/>
    </row>
    <row r="856">
      <c r="D856" s="143"/>
    </row>
    <row r="857">
      <c r="D857" s="143"/>
    </row>
    <row r="858">
      <c r="D858" s="143"/>
    </row>
    <row r="859">
      <c r="D859" s="143"/>
    </row>
    <row r="860">
      <c r="D860" s="143"/>
    </row>
    <row r="861">
      <c r="D861" s="143"/>
    </row>
    <row r="862">
      <c r="D862" s="143"/>
    </row>
    <row r="863">
      <c r="D863" s="143"/>
    </row>
    <row r="864">
      <c r="D864" s="143"/>
    </row>
    <row r="865">
      <c r="D865" s="143"/>
    </row>
    <row r="866">
      <c r="D866" s="143"/>
    </row>
    <row r="867">
      <c r="D867" s="143"/>
    </row>
    <row r="868">
      <c r="D868" s="143"/>
    </row>
    <row r="869">
      <c r="D869" s="143"/>
    </row>
    <row r="870">
      <c r="D870" s="143"/>
    </row>
    <row r="871">
      <c r="D871" s="143"/>
    </row>
    <row r="872">
      <c r="D872" s="143"/>
    </row>
    <row r="873">
      <c r="D873" s="143"/>
    </row>
    <row r="874">
      <c r="D874" s="143"/>
    </row>
    <row r="875">
      <c r="D875" s="143"/>
    </row>
    <row r="876">
      <c r="D876" s="143"/>
    </row>
    <row r="877">
      <c r="D877" s="143"/>
    </row>
    <row r="878">
      <c r="D878" s="143"/>
    </row>
    <row r="879">
      <c r="D879" s="143"/>
    </row>
    <row r="880">
      <c r="D880" s="143"/>
    </row>
    <row r="881">
      <c r="D881" s="143"/>
    </row>
    <row r="882">
      <c r="D882" s="143"/>
    </row>
    <row r="883">
      <c r="D883" s="143"/>
    </row>
    <row r="884">
      <c r="D884" s="143"/>
    </row>
    <row r="885">
      <c r="D885" s="143"/>
    </row>
    <row r="886">
      <c r="D886" s="143"/>
    </row>
    <row r="887">
      <c r="D887" s="143"/>
    </row>
    <row r="888">
      <c r="D888" s="143"/>
    </row>
    <row r="889">
      <c r="D889" s="143"/>
    </row>
    <row r="890">
      <c r="D890" s="143"/>
    </row>
    <row r="891">
      <c r="D891" s="143"/>
    </row>
    <row r="892">
      <c r="D892" s="143"/>
    </row>
    <row r="893">
      <c r="D893" s="143"/>
    </row>
    <row r="894">
      <c r="D894" s="143"/>
    </row>
    <row r="895">
      <c r="D895" s="143"/>
    </row>
    <row r="896">
      <c r="D896" s="143"/>
    </row>
    <row r="897">
      <c r="D897" s="143"/>
    </row>
    <row r="898">
      <c r="D898" s="143"/>
    </row>
    <row r="899">
      <c r="D899" s="143"/>
    </row>
    <row r="900">
      <c r="D900" s="143"/>
    </row>
    <row r="901">
      <c r="D901" s="143"/>
    </row>
    <row r="902">
      <c r="D902" s="143"/>
    </row>
    <row r="903">
      <c r="D903" s="143"/>
    </row>
    <row r="904">
      <c r="D904" s="143"/>
    </row>
    <row r="905">
      <c r="D905" s="143"/>
    </row>
    <row r="906">
      <c r="D906" s="143"/>
    </row>
    <row r="907">
      <c r="D907" s="143"/>
    </row>
    <row r="908">
      <c r="D908" s="143"/>
    </row>
    <row r="909">
      <c r="D909" s="143"/>
    </row>
    <row r="910">
      <c r="D910" s="143"/>
    </row>
    <row r="911">
      <c r="D911" s="143"/>
    </row>
    <row r="912">
      <c r="D912" s="143"/>
    </row>
    <row r="913">
      <c r="D913" s="143"/>
    </row>
    <row r="914">
      <c r="D914" s="143"/>
    </row>
    <row r="915">
      <c r="D915" s="143"/>
    </row>
    <row r="916">
      <c r="D916" s="143"/>
    </row>
    <row r="917">
      <c r="D917" s="143"/>
    </row>
    <row r="918">
      <c r="D918" s="143"/>
    </row>
    <row r="919">
      <c r="D919" s="143"/>
    </row>
    <row r="920">
      <c r="D920" s="143"/>
    </row>
    <row r="921">
      <c r="D921" s="143"/>
    </row>
    <row r="922">
      <c r="D922" s="143"/>
    </row>
    <row r="923">
      <c r="D923" s="143"/>
    </row>
    <row r="924">
      <c r="D924" s="143"/>
    </row>
    <row r="925">
      <c r="D925" s="143"/>
    </row>
    <row r="926">
      <c r="D926" s="143"/>
    </row>
    <row r="927">
      <c r="D927" s="143"/>
    </row>
    <row r="928">
      <c r="D928" s="143"/>
    </row>
    <row r="929">
      <c r="D929" s="143"/>
    </row>
    <row r="930">
      <c r="D930" s="143"/>
    </row>
    <row r="931">
      <c r="D931" s="143"/>
    </row>
    <row r="932">
      <c r="D932" s="143"/>
    </row>
    <row r="933">
      <c r="D933" s="143"/>
    </row>
    <row r="934">
      <c r="D934" s="143"/>
    </row>
    <row r="935">
      <c r="D935" s="143"/>
    </row>
    <row r="936">
      <c r="D936" s="143"/>
    </row>
    <row r="937">
      <c r="D937" s="143"/>
    </row>
    <row r="938">
      <c r="D938" s="143"/>
    </row>
    <row r="939">
      <c r="D939" s="143"/>
    </row>
    <row r="940">
      <c r="D940" s="143"/>
    </row>
    <row r="941">
      <c r="D941" s="143"/>
    </row>
    <row r="942">
      <c r="D942" s="143"/>
    </row>
    <row r="943">
      <c r="D943" s="143"/>
    </row>
    <row r="944">
      <c r="D944" s="143"/>
    </row>
    <row r="945">
      <c r="D945" s="143"/>
    </row>
    <row r="946">
      <c r="D946" s="143"/>
    </row>
    <row r="947">
      <c r="D947" s="143"/>
    </row>
    <row r="948">
      <c r="D948" s="143"/>
    </row>
    <row r="949">
      <c r="D949" s="143"/>
    </row>
    <row r="950">
      <c r="D950" s="143"/>
    </row>
    <row r="951">
      <c r="D951" s="143"/>
    </row>
    <row r="952">
      <c r="D952" s="143"/>
    </row>
    <row r="953">
      <c r="D953" s="143"/>
    </row>
    <row r="954">
      <c r="D954" s="143"/>
    </row>
    <row r="955">
      <c r="D955" s="143"/>
    </row>
    <row r="956">
      <c r="D956" s="143"/>
    </row>
    <row r="957">
      <c r="D957" s="143"/>
    </row>
    <row r="958">
      <c r="D958" s="143"/>
    </row>
    <row r="959">
      <c r="D959" s="143"/>
    </row>
    <row r="960">
      <c r="D960" s="143"/>
    </row>
    <row r="961">
      <c r="D961" s="143"/>
    </row>
    <row r="962">
      <c r="D962" s="143"/>
    </row>
    <row r="963">
      <c r="D963" s="143"/>
    </row>
    <row r="964">
      <c r="D964" s="143"/>
    </row>
    <row r="965">
      <c r="D965" s="143"/>
    </row>
    <row r="966">
      <c r="D966" s="143"/>
    </row>
    <row r="967">
      <c r="D967" s="143"/>
    </row>
    <row r="968">
      <c r="D968" s="143"/>
    </row>
    <row r="969">
      <c r="D969" s="143"/>
    </row>
    <row r="970">
      <c r="D970" s="143"/>
    </row>
    <row r="971">
      <c r="D971" s="143"/>
    </row>
    <row r="972">
      <c r="D972" s="143"/>
    </row>
    <row r="973">
      <c r="D973" s="143"/>
    </row>
    <row r="974">
      <c r="D974" s="143"/>
    </row>
    <row r="975">
      <c r="D975" s="143"/>
    </row>
    <row r="976">
      <c r="D976" s="143"/>
    </row>
    <row r="977">
      <c r="D977" s="143"/>
    </row>
    <row r="978">
      <c r="D978" s="143"/>
    </row>
    <row r="979">
      <c r="D979" s="143"/>
    </row>
    <row r="980">
      <c r="D980" s="143"/>
    </row>
    <row r="981">
      <c r="D981" s="143"/>
    </row>
    <row r="982">
      <c r="D982" s="143"/>
    </row>
    <row r="983">
      <c r="D983" s="143"/>
    </row>
    <row r="984">
      <c r="D984" s="143"/>
    </row>
    <row r="985">
      <c r="D985" s="143"/>
    </row>
    <row r="986">
      <c r="D986" s="143"/>
    </row>
    <row r="987">
      <c r="D987" s="143"/>
    </row>
    <row r="988">
      <c r="D988" s="143"/>
    </row>
    <row r="989">
      <c r="D989" s="143"/>
    </row>
    <row r="990">
      <c r="D990" s="143"/>
    </row>
    <row r="991">
      <c r="D991" s="143"/>
    </row>
    <row r="992">
      <c r="D992" s="143"/>
    </row>
    <row r="993">
      <c r="D993" s="143"/>
    </row>
    <row r="994">
      <c r="D994" s="143"/>
    </row>
    <row r="995">
      <c r="D995" s="143"/>
    </row>
    <row r="996">
      <c r="D996" s="143"/>
    </row>
    <row r="997">
      <c r="D997" s="143"/>
    </row>
    <row r="998">
      <c r="D998" s="143"/>
    </row>
    <row r="999">
      <c r="D999" s="143"/>
    </row>
    <row r="1000">
      <c r="D1000" s="1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6" width="12.63"/>
    <col customWidth="1" min="7" max="7" width="6.25"/>
    <col customWidth="1" min="8" max="8" width="6.63"/>
    <col customWidth="1" min="9" max="10" width="8.25"/>
    <col customWidth="1" min="11" max="11" width="7.13"/>
    <col customWidth="1" min="12" max="12" width="7.38"/>
    <col customWidth="1" min="13" max="13" width="6.88"/>
    <col customWidth="1" min="14" max="14" width="5.75"/>
    <col customWidth="1" min="15" max="15" width="8.5"/>
  </cols>
  <sheetData>
    <row r="1">
      <c r="A1" s="6"/>
      <c r="B1" s="6"/>
      <c r="C1" s="6"/>
      <c r="F1" s="6"/>
      <c r="G1" s="4" t="s">
        <v>3</v>
      </c>
      <c r="H1" s="4" t="s">
        <v>4</v>
      </c>
      <c r="I1" s="4" t="s">
        <v>5</v>
      </c>
      <c r="J1" s="4" t="s">
        <v>5</v>
      </c>
      <c r="K1" s="4" t="s">
        <v>7</v>
      </c>
      <c r="L1" s="4" t="s">
        <v>8</v>
      </c>
      <c r="M1" s="145" t="s">
        <v>9</v>
      </c>
      <c r="N1" s="4" t="s">
        <v>2634</v>
      </c>
      <c r="O1" s="4" t="s">
        <v>2635</v>
      </c>
      <c r="P1" s="5"/>
      <c r="Q1" s="6" t="s">
        <v>11</v>
      </c>
    </row>
    <row r="2">
      <c r="A2" s="6" t="s">
        <v>2636</v>
      </c>
      <c r="B2" s="6">
        <v>1.0</v>
      </c>
      <c r="C2" s="6">
        <v>11800.0</v>
      </c>
      <c r="F2" s="6"/>
      <c r="G2" s="4">
        <v>1.0</v>
      </c>
      <c r="H2" s="4">
        <f>(60+41)/50500</f>
        <v>0.002</v>
      </c>
      <c r="I2" s="146">
        <f t="shared" ref="I2:J2" si="1">0.00264</f>
        <v>0.00264</v>
      </c>
      <c r="J2" s="146">
        <f t="shared" si="1"/>
        <v>0.00264</v>
      </c>
      <c r="K2" s="147">
        <f t="shared" ref="K2:L2" si="2">J2</f>
        <v>0.00264</v>
      </c>
      <c r="L2" s="147">
        <f t="shared" si="2"/>
        <v>0.00264</v>
      </c>
      <c r="M2" s="145">
        <f>J2/H2*60</f>
        <v>79.2</v>
      </c>
      <c r="N2" s="5"/>
      <c r="O2" s="5"/>
      <c r="P2" s="5"/>
      <c r="Q2" s="6" t="s">
        <v>13</v>
      </c>
    </row>
    <row r="3">
      <c r="A3" s="6" t="s">
        <v>2637</v>
      </c>
      <c r="B3" s="6">
        <f>C2/C3</f>
        <v>2.871046229</v>
      </c>
      <c r="C3" s="6">
        <v>4110.0</v>
      </c>
      <c r="D3" s="6">
        <v>12800.0</v>
      </c>
      <c r="G3" s="5">
        <f>11800/4110</f>
        <v>2.871046229</v>
      </c>
      <c r="H3" s="5">
        <f>30/4110</f>
        <v>0.007299270073</v>
      </c>
      <c r="I3" s="148">
        <v>0.00793</v>
      </c>
      <c r="J3" s="148">
        <v>0.00793</v>
      </c>
      <c r="K3" s="5">
        <f>G2*G3*$J$2</f>
        <v>0.007579562044</v>
      </c>
      <c r="L3" s="5">
        <f t="shared" ref="L3:L8" si="3">J2*G3</f>
        <v>0.007579562044</v>
      </c>
      <c r="M3" s="149">
        <f t="shared" ref="M3:M8" si="4">(J3-L3)/H3*60</f>
        <v>2.8806</v>
      </c>
      <c r="N3" s="5"/>
      <c r="O3" s="150">
        <v>0.0194</v>
      </c>
      <c r="P3" s="5"/>
      <c r="Q3" s="6" t="s">
        <v>20</v>
      </c>
    </row>
    <row r="4">
      <c r="A4" s="6" t="s">
        <v>2638</v>
      </c>
      <c r="B4" s="26">
        <f>B3*D3/D4</f>
        <v>27.84044828</v>
      </c>
      <c r="D4" s="6">
        <v>1320.0</v>
      </c>
      <c r="E4" s="6">
        <v>1310.0</v>
      </c>
      <c r="G4" s="5">
        <f>12800/1320</f>
        <v>9.696969697</v>
      </c>
      <c r="H4" s="5">
        <f>47/1320</f>
        <v>0.03560606061</v>
      </c>
      <c r="I4" s="151">
        <v>0.0785</v>
      </c>
      <c r="J4" s="151">
        <v>0.0785</v>
      </c>
      <c r="K4" s="5">
        <f t="shared" ref="K4:K8" si="5">K3*G4</f>
        <v>0.07349878345</v>
      </c>
      <c r="L4" s="5">
        <f t="shared" si="3"/>
        <v>0.0768969697</v>
      </c>
      <c r="M4" s="149">
        <f t="shared" si="4"/>
        <v>2.701276596</v>
      </c>
      <c r="N4" s="5"/>
      <c r="O4" s="5">
        <f>O3*D3/D4</f>
        <v>0.1881212121</v>
      </c>
      <c r="P4" s="5"/>
      <c r="Q4" s="6" t="s">
        <v>23</v>
      </c>
    </row>
    <row r="5">
      <c r="A5" s="6" t="s">
        <v>2639</v>
      </c>
      <c r="B5" s="26">
        <f>B4*E4/E5</f>
        <v>80.15601592</v>
      </c>
      <c r="E5" s="6">
        <v>455.0</v>
      </c>
      <c r="F5" s="6">
        <v>523.0</v>
      </c>
      <c r="G5" s="4">
        <f>1310/455</f>
        <v>2.879120879</v>
      </c>
      <c r="H5" s="4">
        <f>57/455</f>
        <v>0.1252747253</v>
      </c>
      <c r="I5" s="151">
        <v>0.22</v>
      </c>
      <c r="J5" s="151">
        <v>0.22</v>
      </c>
      <c r="K5" s="5">
        <f t="shared" si="5"/>
        <v>0.211611882</v>
      </c>
      <c r="L5" s="5">
        <f t="shared" si="3"/>
        <v>0.226010989</v>
      </c>
      <c r="M5" s="149">
        <f t="shared" si="4"/>
        <v>-2.878947368</v>
      </c>
      <c r="N5" s="150">
        <v>0.25</v>
      </c>
      <c r="O5" s="5"/>
      <c r="P5" s="5"/>
      <c r="Q5" s="6" t="s">
        <v>26</v>
      </c>
    </row>
    <row r="6">
      <c r="A6" s="6" t="s">
        <v>2640</v>
      </c>
      <c r="B6" s="26">
        <f>B5*F5/F6</f>
        <v>2328.977574</v>
      </c>
      <c r="C6" s="6">
        <v>4.77</v>
      </c>
      <c r="F6" s="6">
        <v>18.0</v>
      </c>
      <c r="G6" s="4">
        <f>513/18</f>
        <v>28.5</v>
      </c>
      <c r="H6" s="4">
        <f>104/18</f>
        <v>5.777777778</v>
      </c>
      <c r="I6" s="151">
        <v>6.0</v>
      </c>
      <c r="J6" s="151">
        <v>6.0</v>
      </c>
      <c r="K6" s="5">
        <f t="shared" si="5"/>
        <v>6.030938638</v>
      </c>
      <c r="L6" s="5">
        <f t="shared" si="3"/>
        <v>6.27</v>
      </c>
      <c r="M6" s="149">
        <f t="shared" si="4"/>
        <v>-2.803846154</v>
      </c>
      <c r="N6" s="5">
        <f>N5*G5/G6</f>
        <v>0.02525544631</v>
      </c>
      <c r="O6" s="5"/>
      <c r="P6" s="5"/>
      <c r="Q6" s="6" t="s">
        <v>29</v>
      </c>
    </row>
    <row r="7">
      <c r="A7" s="6" t="s">
        <v>2641</v>
      </c>
      <c r="B7" s="26">
        <f>B6*C6/C7</f>
        <v>11109.22303</v>
      </c>
      <c r="C7" s="6">
        <v>1.0</v>
      </c>
      <c r="D7" s="6">
        <v>3.0</v>
      </c>
      <c r="G7" s="5">
        <f>4.17</f>
        <v>4.17</v>
      </c>
      <c r="H7" s="5">
        <f>3*60+21</f>
        <v>201</v>
      </c>
      <c r="I7" s="151">
        <v>45.0</v>
      </c>
      <c r="J7" s="151">
        <v>45.0</v>
      </c>
      <c r="K7" s="5">
        <f t="shared" si="5"/>
        <v>25.14901412</v>
      </c>
      <c r="L7" s="5">
        <f t="shared" si="3"/>
        <v>25.02</v>
      </c>
      <c r="M7" s="149">
        <f t="shared" si="4"/>
        <v>5.964179104</v>
      </c>
      <c r="N7" s="5"/>
      <c r="O7" s="5"/>
      <c r="P7" s="5"/>
      <c r="Q7" s="6" t="s">
        <v>33</v>
      </c>
    </row>
    <row r="8">
      <c r="A8" s="6" t="s">
        <v>2642</v>
      </c>
      <c r="B8" s="26">
        <f>B7*D7/D8</f>
        <v>33327.66908</v>
      </c>
      <c r="D8" s="6">
        <v>1.0</v>
      </c>
      <c r="G8" s="4">
        <v>2.67</v>
      </c>
      <c r="H8" s="5">
        <f>4*60+27</f>
        <v>267</v>
      </c>
      <c r="I8" s="151">
        <v>145.0</v>
      </c>
      <c r="J8" s="151">
        <v>145.0</v>
      </c>
      <c r="K8" s="5">
        <f t="shared" si="5"/>
        <v>67.1478677</v>
      </c>
      <c r="L8" s="5">
        <f t="shared" si="3"/>
        <v>120.15</v>
      </c>
      <c r="M8" s="149">
        <f t="shared" si="4"/>
        <v>5.584269663</v>
      </c>
      <c r="N8" s="5"/>
      <c r="O8" s="5"/>
      <c r="P8" s="5"/>
      <c r="Q8" s="21" t="s">
        <v>36</v>
      </c>
    </row>
    <row r="9">
      <c r="G9" s="5"/>
      <c r="H9" s="5"/>
      <c r="I9" s="152"/>
      <c r="J9" s="152"/>
      <c r="K9" s="5"/>
      <c r="L9" s="5"/>
      <c r="M9" s="149"/>
      <c r="N9" s="5"/>
      <c r="O9" s="4" t="s">
        <v>2643</v>
      </c>
      <c r="P9" s="5"/>
    </row>
    <row r="10">
      <c r="A10" s="6" t="s">
        <v>2644</v>
      </c>
      <c r="G10" s="4">
        <f>1060/4</f>
        <v>265</v>
      </c>
      <c r="H10" s="5"/>
      <c r="I10" s="5"/>
      <c r="J10" s="5"/>
      <c r="K10" s="5">
        <f>(G10*J4+G11*J15)</f>
        <v>49.9525</v>
      </c>
      <c r="L10" s="5"/>
      <c r="M10" s="149"/>
      <c r="N10" s="5"/>
      <c r="O10" s="147">
        <f>M2+3*M7+2*M8</f>
        <v>108.2610766</v>
      </c>
      <c r="P10" s="5"/>
      <c r="Q10" s="6" t="s">
        <v>77</v>
      </c>
    </row>
    <row r="11">
      <c r="G11" s="4">
        <f>10.6/4</f>
        <v>2.65</v>
      </c>
      <c r="H11" s="5"/>
      <c r="I11" s="5"/>
      <c r="J11" s="5"/>
      <c r="K11" s="5"/>
      <c r="L11" s="5"/>
      <c r="M11" s="149"/>
      <c r="N11" s="5"/>
      <c r="O11" s="5">
        <f>6*M7+2*M8</f>
        <v>46.95361395</v>
      </c>
      <c r="P11" s="5"/>
    </row>
    <row r="12">
      <c r="A12" s="6" t="s">
        <v>2645</v>
      </c>
      <c r="G12" s="4">
        <f>17.7/2</f>
        <v>8.85</v>
      </c>
      <c r="H12" s="5"/>
      <c r="I12" s="152"/>
      <c r="J12" s="152"/>
      <c r="K12" s="5">
        <f>G12*J6+G13*J17</f>
        <v>169.26</v>
      </c>
      <c r="L12" s="5"/>
      <c r="M12" s="149"/>
      <c r="N12" s="5"/>
      <c r="O12" s="5"/>
      <c r="P12" s="5"/>
    </row>
    <row r="13">
      <c r="G13" s="4">
        <f>5.28/2</f>
        <v>2.64</v>
      </c>
      <c r="H13" s="5"/>
      <c r="I13" s="152"/>
      <c r="J13" s="152"/>
      <c r="K13" s="5"/>
      <c r="L13" s="5"/>
      <c r="M13" s="149"/>
      <c r="N13" s="5"/>
      <c r="O13" s="4" t="s">
        <v>2646</v>
      </c>
      <c r="P13" s="5"/>
    </row>
    <row r="14">
      <c r="A14" s="6" t="s">
        <v>2647</v>
      </c>
      <c r="B14" s="6">
        <v>1.0</v>
      </c>
      <c r="C14" s="6">
        <v>8.0</v>
      </c>
      <c r="G14" s="5">
        <f t="shared" ref="G14:G15" si="6">152/30</f>
        <v>5.066666667</v>
      </c>
      <c r="H14" s="4">
        <f>60/12</f>
        <v>5</v>
      </c>
      <c r="I14" s="153">
        <v>1.85</v>
      </c>
      <c r="J14" s="153">
        <v>1.85</v>
      </c>
      <c r="K14" s="4">
        <f>J14</f>
        <v>1.85</v>
      </c>
      <c r="L14" s="4">
        <v>0.46</v>
      </c>
      <c r="M14" s="149">
        <f>J14/H14*60</f>
        <v>22.2</v>
      </c>
      <c r="N14" s="5"/>
      <c r="O14" s="147">
        <f>M14+2*M15+3*M17+3*M18+3*M19+2*M20</f>
        <v>340.5095465</v>
      </c>
      <c r="P14" s="5"/>
      <c r="Q14" s="6" t="s">
        <v>15</v>
      </c>
    </row>
    <row r="15">
      <c r="A15" s="6" t="s">
        <v>2648</v>
      </c>
      <c r="B15" s="6">
        <v>7.92</v>
      </c>
      <c r="C15" s="6">
        <v>1.0</v>
      </c>
      <c r="G15" s="5">
        <f t="shared" si="6"/>
        <v>5.066666667</v>
      </c>
      <c r="H15" s="4">
        <f>(2*60+43)/30</f>
        <v>5.433333333</v>
      </c>
      <c r="I15" s="151">
        <v>11.0</v>
      </c>
      <c r="J15" s="151">
        <v>11.0</v>
      </c>
      <c r="K15" s="5">
        <f>K14*G15</f>
        <v>9.373333333</v>
      </c>
      <c r="L15" s="5">
        <f>J14*G15</f>
        <v>9.373333333</v>
      </c>
      <c r="M15" s="149">
        <f t="shared" ref="M15:M21" si="8">(J15-L15)/H15*60</f>
        <v>17.96319018</v>
      </c>
      <c r="N15" s="5"/>
      <c r="O15" s="4" t="s">
        <v>39</v>
      </c>
      <c r="P15" s="5"/>
      <c r="Q15" s="6" t="s">
        <v>40</v>
      </c>
    </row>
    <row r="16">
      <c r="A16" s="6" t="s">
        <v>2649</v>
      </c>
      <c r="B16" s="6">
        <v>7.92</v>
      </c>
      <c r="C16" s="6">
        <v>1.0</v>
      </c>
      <c r="G16" s="5">
        <f>60.8/10</f>
        <v>6.08</v>
      </c>
      <c r="H16" s="4">
        <f>(60*1+21)/10</f>
        <v>8.1</v>
      </c>
      <c r="I16" s="151">
        <f t="shared" ref="I16:J16" si="7">I15</f>
        <v>11</v>
      </c>
      <c r="J16" s="151">
        <f t="shared" si="7"/>
        <v>11</v>
      </c>
      <c r="K16" s="154">
        <f t="shared" ref="K16:K17" si="9">K14*G16</f>
        <v>11.248</v>
      </c>
      <c r="L16" s="154">
        <f t="shared" ref="L16:L17" si="10">J14*G16</f>
        <v>11.248</v>
      </c>
      <c r="M16" s="149">
        <f t="shared" si="8"/>
        <v>-1.837037037</v>
      </c>
      <c r="N16" s="5"/>
      <c r="O16" s="147">
        <f>6*M7+2*M8</f>
        <v>46.95361395</v>
      </c>
      <c r="P16" s="5"/>
      <c r="Q16" s="6" t="s">
        <v>40</v>
      </c>
    </row>
    <row r="17">
      <c r="A17" s="6" t="s">
        <v>2650</v>
      </c>
      <c r="B17" s="6">
        <v>2.0</v>
      </c>
      <c r="G17" s="5">
        <f>27.2/8</f>
        <v>3.4</v>
      </c>
      <c r="H17" s="5">
        <f>(3*60+34)/8</f>
        <v>26.75</v>
      </c>
      <c r="I17" s="151">
        <v>44.0</v>
      </c>
      <c r="J17" s="151">
        <v>44.0</v>
      </c>
      <c r="K17" s="5">
        <f t="shared" si="9"/>
        <v>31.86933333</v>
      </c>
      <c r="L17" s="5">
        <f t="shared" si="10"/>
        <v>37.4</v>
      </c>
      <c r="M17" s="149">
        <f t="shared" si="8"/>
        <v>14.80373832</v>
      </c>
      <c r="N17" s="5"/>
      <c r="O17" s="4" t="s">
        <v>59</v>
      </c>
      <c r="P17" s="4" t="s">
        <v>2651</v>
      </c>
      <c r="Q17" s="6" t="s">
        <v>44</v>
      </c>
    </row>
    <row r="18">
      <c r="A18" s="6" t="s">
        <v>2652</v>
      </c>
      <c r="G18" s="4">
        <f>12.8/5</f>
        <v>2.56</v>
      </c>
      <c r="H18" s="5">
        <f>(6*60+50)/5</f>
        <v>82</v>
      </c>
      <c r="I18" s="153">
        <v>127.0</v>
      </c>
      <c r="J18" s="153">
        <v>127.0</v>
      </c>
      <c r="K18" s="5">
        <f t="shared" ref="K18:K21" si="11">K17*G18</f>
        <v>81.58549333</v>
      </c>
      <c r="L18" s="5">
        <f t="shared" ref="L18:L21" si="12">J17*G18</f>
        <v>112.64</v>
      </c>
      <c r="M18" s="149">
        <f t="shared" si="8"/>
        <v>10.50731707</v>
      </c>
      <c r="N18" s="5"/>
      <c r="O18" s="147">
        <f>O10+O14+O16</f>
        <v>495.7242371</v>
      </c>
      <c r="P18" s="5">
        <f>O18*60*12</f>
        <v>356921.4507</v>
      </c>
      <c r="Q18" s="6" t="s">
        <v>47</v>
      </c>
    </row>
    <row r="19">
      <c r="A19" s="6" t="s">
        <v>2653</v>
      </c>
      <c r="F19" s="6"/>
      <c r="G19" s="4">
        <f>4.96/3</f>
        <v>1.653333333</v>
      </c>
      <c r="H19" s="4">
        <f>(3*60+12)/3</f>
        <v>64</v>
      </c>
      <c r="I19" s="151">
        <v>260.0</v>
      </c>
      <c r="J19" s="151">
        <v>260.0</v>
      </c>
      <c r="K19" s="5">
        <f t="shared" si="11"/>
        <v>134.8880156</v>
      </c>
      <c r="L19" s="5">
        <f t="shared" si="12"/>
        <v>209.9733333</v>
      </c>
      <c r="M19" s="149">
        <f t="shared" si="8"/>
        <v>46.9</v>
      </c>
      <c r="N19" s="5"/>
      <c r="O19" s="5"/>
      <c r="P19" s="5"/>
      <c r="Q19" s="6" t="s">
        <v>51</v>
      </c>
    </row>
    <row r="20">
      <c r="A20" s="6" t="s">
        <v>2654</v>
      </c>
      <c r="G20" s="4">
        <v>2.48</v>
      </c>
      <c r="H20" s="5">
        <f>(3*60+12)</f>
        <v>192</v>
      </c>
      <c r="I20" s="151">
        <v>750.0</v>
      </c>
      <c r="J20" s="151">
        <v>750.0</v>
      </c>
      <c r="K20" s="5">
        <f t="shared" si="11"/>
        <v>334.5222788</v>
      </c>
      <c r="L20" s="5">
        <f t="shared" si="12"/>
        <v>644.8</v>
      </c>
      <c r="M20" s="149">
        <f t="shared" si="8"/>
        <v>32.875</v>
      </c>
      <c r="N20" s="5"/>
      <c r="O20" s="4" t="s">
        <v>2655</v>
      </c>
      <c r="P20" s="5"/>
      <c r="Q20" s="6" t="s">
        <v>54</v>
      </c>
    </row>
    <row r="21">
      <c r="A21" s="6" t="s">
        <v>2656</v>
      </c>
      <c r="G21" s="4">
        <v>2.53</v>
      </c>
      <c r="H21" s="5">
        <f>5*60</f>
        <v>300</v>
      </c>
      <c r="I21" s="151">
        <v>1850.0</v>
      </c>
      <c r="J21" s="151">
        <v>1850.0</v>
      </c>
      <c r="K21" s="5">
        <f t="shared" si="11"/>
        <v>846.3413654</v>
      </c>
      <c r="L21" s="5">
        <f t="shared" si="12"/>
        <v>1897.5</v>
      </c>
      <c r="M21" s="149">
        <f t="shared" si="8"/>
        <v>-9.5</v>
      </c>
      <c r="N21" s="5"/>
      <c r="O21" s="5"/>
      <c r="P21" s="5"/>
      <c r="Q21" s="6" t="s">
        <v>56</v>
      </c>
      <c r="V21" s="26">
        <f>192/2</f>
        <v>96</v>
      </c>
    </row>
    <row r="22">
      <c r="G22" s="4"/>
      <c r="H22" s="5"/>
      <c r="I22" s="151"/>
      <c r="J22" s="151"/>
      <c r="K22" s="5"/>
      <c r="L22" s="5"/>
      <c r="M22" s="149"/>
      <c r="N22" s="5"/>
      <c r="O22" s="5"/>
      <c r="P22" s="5"/>
      <c r="U22" s="26">
        <f>8*60</f>
        <v>480</v>
      </c>
      <c r="V22" s="26">
        <f>U22/(3.25)</f>
        <v>147.6923077</v>
      </c>
    </row>
    <row r="23">
      <c r="M23" s="149"/>
      <c r="U23" s="26">
        <f>U22/H20</f>
        <v>2.5</v>
      </c>
    </row>
    <row r="24" ht="20.25" customHeight="1">
      <c r="M24" s="149"/>
      <c r="U24" s="26">
        <f>H20/U22</f>
        <v>0.4</v>
      </c>
    </row>
    <row r="25">
      <c r="M25" s="149"/>
      <c r="O25" s="6" t="s">
        <v>2657</v>
      </c>
    </row>
    <row r="26">
      <c r="M26" s="149"/>
    </row>
    <row r="27">
      <c r="M27" s="149"/>
    </row>
    <row r="28">
      <c r="M28" s="149"/>
    </row>
    <row r="29">
      <c r="M29" s="149"/>
    </row>
    <row r="30">
      <c r="M30" s="149"/>
    </row>
    <row r="31">
      <c r="M31" s="149"/>
    </row>
    <row r="32">
      <c r="M32" s="149"/>
    </row>
    <row r="33">
      <c r="M33" s="149"/>
    </row>
    <row r="34">
      <c r="M34" s="149"/>
    </row>
    <row r="35">
      <c r="M35" s="149"/>
    </row>
    <row r="36">
      <c r="M36" s="149"/>
    </row>
    <row r="37">
      <c r="M37" s="149"/>
    </row>
    <row r="38">
      <c r="M38" s="149"/>
    </row>
    <row r="39">
      <c r="M39" s="149"/>
    </row>
    <row r="40">
      <c r="M40" s="149"/>
    </row>
    <row r="41">
      <c r="M41" s="149"/>
    </row>
    <row r="42">
      <c r="G42" s="5"/>
      <c r="M42" s="149"/>
      <c r="N42" s="5"/>
      <c r="O42" s="5"/>
      <c r="P42" s="5"/>
    </row>
    <row r="43">
      <c r="G43" s="5"/>
      <c r="M43" s="149"/>
      <c r="N43" s="5"/>
      <c r="O43" s="5"/>
      <c r="P43" s="5"/>
    </row>
    <row r="44">
      <c r="G44" s="5"/>
      <c r="M44" s="149"/>
      <c r="N44" s="5"/>
      <c r="O44" s="5"/>
      <c r="P44" s="5"/>
    </row>
    <row r="45">
      <c r="G45" s="4"/>
      <c r="M45" s="149"/>
      <c r="N45" s="5"/>
      <c r="O45" s="5"/>
      <c r="P45" s="5"/>
    </row>
    <row r="46">
      <c r="G46" s="5"/>
      <c r="M46" s="149"/>
      <c r="N46" s="5"/>
      <c r="O46" s="5"/>
      <c r="P46" s="5"/>
    </row>
    <row r="47">
      <c r="G47" s="5"/>
      <c r="M47" s="149"/>
      <c r="N47" s="5"/>
      <c r="O47" s="5"/>
      <c r="P47" s="5"/>
    </row>
    <row r="48">
      <c r="G48" s="5"/>
      <c r="M48" s="149"/>
      <c r="N48" s="5"/>
      <c r="O48" s="5"/>
      <c r="P48" s="5"/>
    </row>
    <row r="49">
      <c r="G49" s="5"/>
      <c r="M49" s="149"/>
      <c r="N49" s="5"/>
      <c r="O49" s="5"/>
      <c r="P49" s="5"/>
    </row>
    <row r="50">
      <c r="G50" s="5"/>
      <c r="M50" s="149"/>
      <c r="N50" s="5"/>
      <c r="O50" s="5"/>
      <c r="P50" s="5"/>
    </row>
    <row r="51">
      <c r="G51" s="5"/>
      <c r="M51" s="149"/>
      <c r="N51" s="5"/>
      <c r="O51" s="5"/>
      <c r="P51" s="5"/>
    </row>
    <row r="52">
      <c r="G52" s="5"/>
      <c r="M52" s="149"/>
      <c r="N52" s="5"/>
      <c r="O52" s="5"/>
      <c r="P52" s="5"/>
    </row>
    <row r="53">
      <c r="G53" s="5"/>
      <c r="M53" s="149"/>
      <c r="N53" s="5"/>
      <c r="O53" s="5"/>
      <c r="P53" s="5"/>
    </row>
    <row r="54">
      <c r="G54" s="5"/>
      <c r="M54" s="149"/>
      <c r="N54" s="5"/>
      <c r="O54" s="5"/>
      <c r="P54" s="5"/>
    </row>
    <row r="55">
      <c r="G55" s="5"/>
      <c r="M55" s="149"/>
      <c r="N55" s="5"/>
      <c r="O55" s="5"/>
      <c r="P55" s="5"/>
    </row>
    <row r="56">
      <c r="G56" s="5"/>
      <c r="H56" s="5"/>
      <c r="I56" s="5"/>
      <c r="J56" s="5"/>
      <c r="K56" s="5"/>
      <c r="L56" s="5"/>
      <c r="M56" s="149"/>
      <c r="N56" s="5"/>
      <c r="O56" s="5"/>
      <c r="P56" s="5"/>
    </row>
    <row r="57">
      <c r="G57" s="5"/>
      <c r="H57" s="5"/>
      <c r="I57" s="5"/>
      <c r="J57" s="5"/>
      <c r="K57" s="5"/>
      <c r="L57" s="5"/>
      <c r="M57" s="149"/>
      <c r="N57" s="5"/>
      <c r="O57" s="5"/>
      <c r="P57" s="5"/>
    </row>
    <row r="58">
      <c r="G58" s="5"/>
      <c r="H58" s="5"/>
      <c r="I58" s="5"/>
      <c r="J58" s="5"/>
      <c r="K58" s="5"/>
      <c r="L58" s="5"/>
      <c r="M58" s="149"/>
      <c r="N58" s="5"/>
      <c r="O58" s="5"/>
      <c r="P58" s="5"/>
    </row>
    <row r="59">
      <c r="G59" s="5"/>
      <c r="H59" s="5"/>
      <c r="I59" s="5"/>
      <c r="J59" s="5"/>
      <c r="K59" s="5"/>
      <c r="L59" s="5"/>
      <c r="M59" s="149"/>
      <c r="N59" s="5"/>
      <c r="O59" s="5"/>
      <c r="P59" s="5"/>
    </row>
    <row r="60">
      <c r="G60" s="5"/>
      <c r="H60" s="5"/>
      <c r="I60" s="5"/>
      <c r="J60" s="5"/>
      <c r="K60" s="5"/>
      <c r="L60" s="5"/>
      <c r="M60" s="149"/>
      <c r="N60" s="5"/>
      <c r="O60" s="5"/>
      <c r="P60" s="5"/>
    </row>
    <row r="61">
      <c r="G61" s="5"/>
      <c r="H61" s="5"/>
      <c r="I61" s="5"/>
      <c r="J61" s="5"/>
      <c r="K61" s="5"/>
      <c r="L61" s="5"/>
      <c r="M61" s="149"/>
      <c r="N61" s="5"/>
      <c r="O61" s="5"/>
      <c r="P61" s="5"/>
    </row>
    <row r="62">
      <c r="G62" s="5"/>
      <c r="H62" s="5"/>
      <c r="I62" s="5"/>
      <c r="J62" s="5"/>
      <c r="K62" s="5"/>
      <c r="L62" s="5"/>
      <c r="M62" s="149"/>
      <c r="N62" s="5"/>
      <c r="O62" s="5"/>
      <c r="P62" s="5"/>
    </row>
    <row r="63">
      <c r="G63" s="5"/>
      <c r="H63" s="5"/>
      <c r="I63" s="5"/>
      <c r="J63" s="5"/>
      <c r="K63" s="5"/>
      <c r="L63" s="5"/>
      <c r="M63" s="149"/>
      <c r="N63" s="5"/>
      <c r="O63" s="5"/>
      <c r="P63" s="5"/>
    </row>
    <row r="64">
      <c r="G64" s="5"/>
      <c r="H64" s="5"/>
      <c r="I64" s="5"/>
      <c r="J64" s="5"/>
      <c r="K64" s="5"/>
      <c r="L64" s="5"/>
      <c r="M64" s="149"/>
      <c r="N64" s="5"/>
      <c r="O64" s="5"/>
      <c r="P64" s="5"/>
    </row>
    <row r="65">
      <c r="G65" s="5"/>
      <c r="H65" s="5"/>
      <c r="I65" s="5"/>
      <c r="J65" s="5"/>
      <c r="K65" s="5"/>
      <c r="L65" s="5"/>
      <c r="M65" s="149"/>
      <c r="N65" s="5"/>
      <c r="O65" s="5"/>
      <c r="P65" s="5"/>
    </row>
    <row r="66">
      <c r="G66" s="5"/>
      <c r="H66" s="5"/>
      <c r="I66" s="5"/>
      <c r="J66" s="5"/>
      <c r="K66" s="5"/>
      <c r="L66" s="5"/>
      <c r="M66" s="149"/>
      <c r="N66" s="5"/>
      <c r="O66" s="5"/>
      <c r="P66" s="5"/>
    </row>
    <row r="67">
      <c r="G67" s="5"/>
      <c r="H67" s="5"/>
      <c r="I67" s="5"/>
      <c r="J67" s="5"/>
      <c r="K67" s="5"/>
      <c r="L67" s="5"/>
      <c r="M67" s="149"/>
      <c r="N67" s="5"/>
      <c r="O67" s="5"/>
      <c r="P67" s="5"/>
    </row>
    <row r="68">
      <c r="G68" s="5"/>
      <c r="H68" s="5"/>
      <c r="I68" s="5"/>
      <c r="J68" s="5"/>
      <c r="K68" s="5"/>
      <c r="L68" s="5"/>
      <c r="M68" s="149"/>
      <c r="N68" s="5"/>
      <c r="O68" s="5"/>
      <c r="P68" s="5"/>
    </row>
    <row r="69">
      <c r="G69" s="5"/>
      <c r="H69" s="5"/>
      <c r="I69" s="5"/>
      <c r="J69" s="5"/>
      <c r="K69" s="5"/>
      <c r="L69" s="5"/>
      <c r="M69" s="149"/>
      <c r="N69" s="5"/>
      <c r="O69" s="5"/>
      <c r="P69" s="5"/>
    </row>
    <row r="70">
      <c r="G70" s="5"/>
      <c r="H70" s="5"/>
      <c r="I70" s="5"/>
      <c r="J70" s="5"/>
      <c r="K70" s="5"/>
      <c r="L70" s="5"/>
      <c r="M70" s="149"/>
      <c r="N70" s="5"/>
      <c r="O70" s="5"/>
      <c r="P70" s="5"/>
    </row>
    <row r="71">
      <c r="G71" s="5"/>
      <c r="H71" s="5"/>
      <c r="I71" s="5"/>
      <c r="J71" s="5"/>
      <c r="K71" s="5"/>
      <c r="L71" s="5"/>
      <c r="M71" s="149"/>
      <c r="N71" s="5"/>
      <c r="O71" s="5"/>
      <c r="P71" s="5"/>
    </row>
    <row r="72">
      <c r="G72" s="5"/>
      <c r="H72" s="5"/>
      <c r="I72" s="5"/>
      <c r="J72" s="5"/>
      <c r="K72" s="5"/>
      <c r="L72" s="5"/>
      <c r="M72" s="149"/>
      <c r="N72" s="5"/>
      <c r="O72" s="5"/>
      <c r="P72" s="5"/>
    </row>
    <row r="73">
      <c r="G73" s="5"/>
      <c r="H73" s="5"/>
      <c r="I73" s="5"/>
      <c r="J73" s="5"/>
      <c r="K73" s="5"/>
      <c r="L73" s="5"/>
      <c r="M73" s="149"/>
      <c r="N73" s="5"/>
      <c r="O73" s="5"/>
      <c r="P73" s="5"/>
    </row>
    <row r="74">
      <c r="G74" s="5"/>
      <c r="H74" s="5"/>
      <c r="I74" s="5"/>
      <c r="J74" s="5"/>
      <c r="K74" s="5"/>
      <c r="L74" s="5"/>
      <c r="M74" s="149"/>
      <c r="N74" s="5"/>
      <c r="O74" s="5"/>
      <c r="P74" s="5"/>
    </row>
    <row r="75">
      <c r="G75" s="5"/>
      <c r="H75" s="5"/>
      <c r="I75" s="5"/>
      <c r="J75" s="5"/>
      <c r="K75" s="5"/>
      <c r="L75" s="5"/>
      <c r="M75" s="149"/>
      <c r="N75" s="5"/>
      <c r="O75" s="5"/>
      <c r="P75" s="5"/>
    </row>
    <row r="76">
      <c r="G76" s="5"/>
      <c r="H76" s="5"/>
      <c r="I76" s="5"/>
      <c r="J76" s="5"/>
      <c r="K76" s="5"/>
      <c r="L76" s="5"/>
      <c r="M76" s="149"/>
      <c r="N76" s="5"/>
      <c r="O76" s="5"/>
      <c r="P76" s="5"/>
    </row>
    <row r="77">
      <c r="G77" s="5"/>
      <c r="H77" s="5"/>
      <c r="I77" s="5"/>
      <c r="J77" s="5"/>
      <c r="K77" s="5"/>
      <c r="L77" s="5"/>
      <c r="M77" s="149"/>
      <c r="N77" s="5"/>
      <c r="O77" s="5"/>
      <c r="P77" s="5"/>
    </row>
    <row r="78">
      <c r="G78" s="5"/>
      <c r="H78" s="5"/>
      <c r="I78" s="5"/>
      <c r="J78" s="5"/>
      <c r="K78" s="5"/>
      <c r="L78" s="5"/>
      <c r="M78" s="149"/>
      <c r="N78" s="5"/>
      <c r="O78" s="5"/>
      <c r="P78" s="5"/>
    </row>
    <row r="79">
      <c r="G79" s="5"/>
      <c r="H79" s="5"/>
      <c r="I79" s="5"/>
      <c r="J79" s="5"/>
      <c r="K79" s="5"/>
      <c r="L79" s="5"/>
      <c r="M79" s="149"/>
      <c r="N79" s="5"/>
      <c r="O79" s="5"/>
      <c r="P79" s="5"/>
    </row>
    <row r="80">
      <c r="G80" s="5"/>
      <c r="H80" s="5"/>
      <c r="I80" s="5"/>
      <c r="J80" s="5"/>
      <c r="K80" s="5"/>
      <c r="L80" s="5"/>
      <c r="M80" s="149"/>
      <c r="N80" s="5"/>
      <c r="O80" s="5"/>
      <c r="P80" s="5"/>
    </row>
    <row r="81">
      <c r="G81" s="5"/>
      <c r="H81" s="5"/>
      <c r="I81" s="5"/>
      <c r="J81" s="5"/>
      <c r="K81" s="5"/>
      <c r="L81" s="5"/>
      <c r="M81" s="149"/>
      <c r="N81" s="5"/>
      <c r="O81" s="5"/>
      <c r="P81" s="5"/>
    </row>
    <row r="82">
      <c r="G82" s="5"/>
      <c r="H82" s="5"/>
      <c r="I82" s="5"/>
      <c r="J82" s="5"/>
      <c r="K82" s="5"/>
      <c r="L82" s="5"/>
      <c r="M82" s="149"/>
      <c r="N82" s="5"/>
      <c r="O82" s="5"/>
      <c r="P82" s="5"/>
    </row>
    <row r="83">
      <c r="G83" s="5"/>
      <c r="H83" s="5"/>
      <c r="I83" s="5"/>
      <c r="J83" s="5"/>
      <c r="K83" s="5"/>
      <c r="L83" s="5"/>
      <c r="M83" s="149"/>
      <c r="N83" s="5"/>
      <c r="O83" s="5"/>
      <c r="P83" s="5"/>
    </row>
    <row r="84">
      <c r="G84" s="5"/>
      <c r="H84" s="5"/>
      <c r="I84" s="5"/>
      <c r="J84" s="5"/>
      <c r="K84" s="5"/>
      <c r="L84" s="5"/>
      <c r="M84" s="149"/>
      <c r="N84" s="5"/>
      <c r="O84" s="5"/>
      <c r="P84" s="5"/>
    </row>
    <row r="85">
      <c r="G85" s="5"/>
      <c r="H85" s="5"/>
      <c r="I85" s="5"/>
      <c r="J85" s="5"/>
      <c r="K85" s="5"/>
      <c r="L85" s="5"/>
      <c r="M85" s="149"/>
      <c r="N85" s="5"/>
      <c r="O85" s="5"/>
      <c r="P85" s="5"/>
    </row>
    <row r="86">
      <c r="G86" s="5"/>
      <c r="H86" s="5"/>
      <c r="I86" s="5"/>
      <c r="J86" s="5"/>
      <c r="K86" s="5"/>
      <c r="L86" s="5"/>
      <c r="M86" s="149"/>
      <c r="N86" s="5"/>
      <c r="O86" s="5"/>
      <c r="P86" s="5"/>
    </row>
    <row r="87">
      <c r="G87" s="5"/>
      <c r="H87" s="5"/>
      <c r="I87" s="5"/>
      <c r="J87" s="5"/>
      <c r="K87" s="5"/>
      <c r="L87" s="5"/>
      <c r="M87" s="149"/>
      <c r="N87" s="5"/>
      <c r="O87" s="5"/>
      <c r="P87" s="5"/>
    </row>
    <row r="88">
      <c r="G88" s="5"/>
      <c r="H88" s="5"/>
      <c r="I88" s="5"/>
      <c r="J88" s="5"/>
      <c r="K88" s="5"/>
      <c r="L88" s="5"/>
      <c r="M88" s="149"/>
      <c r="N88" s="5"/>
      <c r="O88" s="5"/>
      <c r="P88" s="5"/>
    </row>
    <row r="89">
      <c r="G89" s="5"/>
      <c r="H89" s="5"/>
      <c r="I89" s="5"/>
      <c r="J89" s="5"/>
      <c r="K89" s="5"/>
      <c r="L89" s="5"/>
      <c r="M89" s="149"/>
      <c r="N89" s="5"/>
      <c r="O89" s="5"/>
      <c r="P89" s="5"/>
    </row>
    <row r="90">
      <c r="G90" s="5"/>
      <c r="H90" s="5"/>
      <c r="I90" s="5"/>
      <c r="J90" s="5"/>
      <c r="K90" s="5"/>
      <c r="L90" s="5"/>
      <c r="M90" s="149"/>
      <c r="N90" s="5"/>
      <c r="O90" s="5"/>
      <c r="P90" s="5"/>
    </row>
    <row r="91">
      <c r="G91" s="5"/>
      <c r="H91" s="5"/>
      <c r="I91" s="5"/>
      <c r="J91" s="5"/>
      <c r="K91" s="5"/>
      <c r="L91" s="5"/>
      <c r="M91" s="149"/>
      <c r="N91" s="5"/>
      <c r="O91" s="5"/>
      <c r="P91" s="5"/>
    </row>
    <row r="92">
      <c r="G92" s="5"/>
      <c r="H92" s="5"/>
      <c r="I92" s="5"/>
      <c r="J92" s="5"/>
      <c r="K92" s="5"/>
      <c r="L92" s="5"/>
      <c r="M92" s="149"/>
      <c r="N92" s="5"/>
      <c r="O92" s="5"/>
      <c r="P92" s="5"/>
    </row>
    <row r="93">
      <c r="G93" s="5"/>
      <c r="H93" s="5"/>
      <c r="I93" s="5"/>
      <c r="J93" s="5"/>
      <c r="K93" s="5"/>
      <c r="L93" s="5"/>
      <c r="M93" s="149"/>
      <c r="N93" s="5"/>
      <c r="O93" s="5"/>
      <c r="P93" s="5"/>
    </row>
    <row r="94">
      <c r="G94" s="5"/>
      <c r="H94" s="5"/>
      <c r="I94" s="5"/>
      <c r="J94" s="5"/>
      <c r="K94" s="5"/>
      <c r="L94" s="5"/>
      <c r="M94" s="149"/>
      <c r="N94" s="5"/>
      <c r="O94" s="5"/>
      <c r="P94" s="5"/>
    </row>
    <row r="95">
      <c r="G95" s="5"/>
      <c r="H95" s="5"/>
      <c r="I95" s="5"/>
      <c r="J95" s="5"/>
      <c r="K95" s="5"/>
      <c r="L95" s="5"/>
      <c r="M95" s="149"/>
      <c r="N95" s="5"/>
      <c r="O95" s="5"/>
      <c r="P95" s="5"/>
    </row>
    <row r="96">
      <c r="G96" s="5"/>
      <c r="H96" s="5"/>
      <c r="I96" s="5"/>
      <c r="J96" s="5"/>
      <c r="K96" s="5"/>
      <c r="L96" s="5"/>
      <c r="M96" s="149"/>
      <c r="N96" s="5"/>
      <c r="O96" s="5"/>
      <c r="P96" s="5"/>
    </row>
    <row r="97">
      <c r="G97" s="5"/>
      <c r="H97" s="5"/>
      <c r="I97" s="5"/>
      <c r="J97" s="5"/>
      <c r="K97" s="5"/>
      <c r="L97" s="5"/>
      <c r="M97" s="149"/>
      <c r="N97" s="5"/>
      <c r="O97" s="5"/>
      <c r="P97" s="5"/>
    </row>
    <row r="98">
      <c r="G98" s="5"/>
      <c r="H98" s="5"/>
      <c r="I98" s="5"/>
      <c r="J98" s="5"/>
      <c r="K98" s="5"/>
      <c r="L98" s="5"/>
      <c r="M98" s="149"/>
      <c r="N98" s="5"/>
      <c r="O98" s="5"/>
      <c r="P98" s="5"/>
    </row>
    <row r="99">
      <c r="G99" s="5"/>
      <c r="H99" s="5"/>
      <c r="I99" s="5"/>
      <c r="J99" s="5"/>
      <c r="K99" s="5"/>
      <c r="L99" s="5"/>
      <c r="M99" s="149"/>
      <c r="N99" s="5"/>
      <c r="O99" s="5"/>
      <c r="P99" s="5"/>
    </row>
    <row r="100">
      <c r="G100" s="5"/>
      <c r="H100" s="5"/>
      <c r="I100" s="5"/>
      <c r="J100" s="5"/>
      <c r="K100" s="5"/>
      <c r="L100" s="5"/>
      <c r="M100" s="149"/>
      <c r="N100" s="5"/>
      <c r="O100" s="5"/>
      <c r="P100" s="5"/>
    </row>
    <row r="101">
      <c r="G101" s="5"/>
      <c r="H101" s="5"/>
      <c r="I101" s="5"/>
      <c r="J101" s="5"/>
      <c r="K101" s="5"/>
      <c r="L101" s="5"/>
      <c r="M101" s="149"/>
      <c r="N101" s="5"/>
      <c r="O101" s="5"/>
      <c r="P101" s="5"/>
    </row>
    <row r="102">
      <c r="G102" s="5"/>
      <c r="H102" s="5"/>
      <c r="I102" s="5"/>
      <c r="J102" s="5"/>
      <c r="K102" s="5"/>
      <c r="L102" s="5"/>
      <c r="M102" s="149"/>
      <c r="N102" s="5"/>
      <c r="O102" s="5"/>
      <c r="P102" s="5"/>
    </row>
    <row r="103">
      <c r="G103" s="5"/>
      <c r="H103" s="5"/>
      <c r="I103" s="5"/>
      <c r="J103" s="5"/>
      <c r="K103" s="5"/>
      <c r="L103" s="5"/>
      <c r="M103" s="149"/>
      <c r="N103" s="5"/>
      <c r="O103" s="5"/>
      <c r="P103" s="5"/>
    </row>
    <row r="104">
      <c r="G104" s="5"/>
      <c r="H104" s="5"/>
      <c r="I104" s="5"/>
      <c r="J104" s="5"/>
      <c r="K104" s="5"/>
      <c r="L104" s="5"/>
      <c r="M104" s="149"/>
      <c r="N104" s="5"/>
      <c r="O104" s="5"/>
      <c r="P104" s="5"/>
    </row>
    <row r="105">
      <c r="G105" s="5"/>
      <c r="H105" s="5"/>
      <c r="I105" s="5"/>
      <c r="J105" s="5"/>
      <c r="K105" s="5"/>
      <c r="L105" s="5"/>
      <c r="M105" s="149"/>
      <c r="N105" s="5"/>
      <c r="O105" s="5"/>
      <c r="P105" s="5"/>
    </row>
    <row r="106">
      <c r="G106" s="5"/>
      <c r="H106" s="5"/>
      <c r="I106" s="5"/>
      <c r="J106" s="5"/>
      <c r="K106" s="5"/>
      <c r="L106" s="5"/>
      <c r="M106" s="149"/>
      <c r="N106" s="5"/>
      <c r="O106" s="5"/>
      <c r="P106" s="5"/>
    </row>
    <row r="107">
      <c r="G107" s="5"/>
      <c r="H107" s="5"/>
      <c r="I107" s="5"/>
      <c r="J107" s="5"/>
      <c r="K107" s="5"/>
      <c r="L107" s="5"/>
      <c r="M107" s="149"/>
      <c r="N107" s="5"/>
      <c r="O107" s="5"/>
      <c r="P107" s="5"/>
    </row>
    <row r="108">
      <c r="G108" s="5"/>
      <c r="H108" s="5"/>
      <c r="I108" s="5"/>
      <c r="J108" s="5"/>
      <c r="K108" s="5"/>
      <c r="L108" s="5"/>
      <c r="M108" s="149"/>
      <c r="N108" s="5"/>
      <c r="O108" s="5"/>
      <c r="P108" s="5"/>
    </row>
    <row r="109">
      <c r="G109" s="5"/>
      <c r="H109" s="5"/>
      <c r="I109" s="5"/>
      <c r="J109" s="5"/>
      <c r="K109" s="5"/>
      <c r="L109" s="5"/>
      <c r="M109" s="149"/>
      <c r="N109" s="5"/>
      <c r="O109" s="5"/>
      <c r="P109" s="5"/>
    </row>
    <row r="110">
      <c r="G110" s="5"/>
      <c r="H110" s="5"/>
      <c r="I110" s="5"/>
      <c r="J110" s="5"/>
      <c r="K110" s="5"/>
      <c r="L110" s="5"/>
      <c r="M110" s="149"/>
      <c r="N110" s="5"/>
      <c r="O110" s="5"/>
      <c r="P110" s="5"/>
    </row>
    <row r="111">
      <c r="G111" s="5"/>
      <c r="H111" s="5"/>
      <c r="I111" s="5"/>
      <c r="J111" s="5"/>
      <c r="K111" s="5"/>
      <c r="L111" s="5"/>
      <c r="M111" s="149"/>
      <c r="N111" s="5"/>
      <c r="O111" s="5"/>
      <c r="P111" s="5"/>
    </row>
    <row r="112">
      <c r="G112" s="5"/>
      <c r="H112" s="5"/>
      <c r="I112" s="5"/>
      <c r="J112" s="5"/>
      <c r="K112" s="5"/>
      <c r="L112" s="5"/>
      <c r="M112" s="149"/>
      <c r="N112" s="5"/>
      <c r="O112" s="5"/>
      <c r="P112" s="5"/>
    </row>
    <row r="113">
      <c r="G113" s="5"/>
      <c r="H113" s="5"/>
      <c r="I113" s="5"/>
      <c r="J113" s="5"/>
      <c r="K113" s="5"/>
      <c r="L113" s="5"/>
      <c r="M113" s="149"/>
      <c r="N113" s="5"/>
      <c r="O113" s="5"/>
      <c r="P113" s="5"/>
    </row>
    <row r="114">
      <c r="G114" s="5"/>
      <c r="H114" s="5"/>
      <c r="I114" s="5"/>
      <c r="J114" s="5"/>
      <c r="K114" s="5"/>
      <c r="L114" s="5"/>
      <c r="M114" s="149"/>
      <c r="N114" s="5"/>
      <c r="O114" s="5"/>
      <c r="P114" s="5"/>
    </row>
    <row r="115">
      <c r="G115" s="5"/>
      <c r="H115" s="5"/>
      <c r="I115" s="5"/>
      <c r="J115" s="5"/>
      <c r="K115" s="5"/>
      <c r="L115" s="5"/>
      <c r="M115" s="149"/>
      <c r="N115" s="5"/>
      <c r="O115" s="5"/>
      <c r="P115" s="5"/>
    </row>
    <row r="116">
      <c r="G116" s="5"/>
      <c r="H116" s="5"/>
      <c r="I116" s="5"/>
      <c r="J116" s="5"/>
      <c r="K116" s="5"/>
      <c r="L116" s="5"/>
      <c r="M116" s="149"/>
      <c r="N116" s="5"/>
      <c r="O116" s="5"/>
      <c r="P116" s="5"/>
    </row>
    <row r="117">
      <c r="G117" s="5"/>
      <c r="H117" s="5"/>
      <c r="I117" s="5"/>
      <c r="J117" s="5"/>
      <c r="K117" s="5"/>
      <c r="L117" s="5"/>
      <c r="M117" s="149"/>
      <c r="N117" s="5"/>
      <c r="O117" s="5"/>
      <c r="P117" s="5"/>
    </row>
    <row r="118">
      <c r="G118" s="5"/>
      <c r="H118" s="5"/>
      <c r="I118" s="5"/>
      <c r="J118" s="5"/>
      <c r="K118" s="5"/>
      <c r="L118" s="5"/>
      <c r="M118" s="149"/>
      <c r="N118" s="5"/>
      <c r="O118" s="5"/>
      <c r="P118" s="5"/>
    </row>
    <row r="119">
      <c r="G119" s="5"/>
      <c r="H119" s="5"/>
      <c r="I119" s="5"/>
      <c r="J119" s="5"/>
      <c r="K119" s="5"/>
      <c r="L119" s="5"/>
      <c r="M119" s="149"/>
      <c r="N119" s="5"/>
      <c r="O119" s="5"/>
      <c r="P119" s="5"/>
    </row>
    <row r="120">
      <c r="G120" s="5"/>
      <c r="H120" s="5"/>
      <c r="I120" s="5"/>
      <c r="J120" s="5"/>
      <c r="K120" s="5"/>
      <c r="L120" s="5"/>
      <c r="M120" s="149"/>
      <c r="N120" s="5"/>
      <c r="O120" s="5"/>
      <c r="P120" s="5"/>
    </row>
    <row r="121">
      <c r="G121" s="5"/>
      <c r="H121" s="5"/>
      <c r="I121" s="5"/>
      <c r="J121" s="5"/>
      <c r="K121" s="5"/>
      <c r="L121" s="5"/>
      <c r="M121" s="149"/>
      <c r="N121" s="5"/>
      <c r="O121" s="5"/>
      <c r="P121" s="5"/>
    </row>
    <row r="122">
      <c r="G122" s="5"/>
      <c r="H122" s="5"/>
      <c r="I122" s="5"/>
      <c r="J122" s="5"/>
      <c r="K122" s="5"/>
      <c r="L122" s="5"/>
      <c r="M122" s="149"/>
      <c r="N122" s="5"/>
      <c r="O122" s="5"/>
      <c r="P122" s="5"/>
    </row>
    <row r="123">
      <c r="G123" s="5"/>
      <c r="H123" s="5"/>
      <c r="I123" s="5"/>
      <c r="J123" s="5"/>
      <c r="K123" s="5"/>
      <c r="L123" s="5"/>
      <c r="M123" s="149"/>
      <c r="N123" s="5"/>
      <c r="O123" s="5"/>
      <c r="P123" s="5"/>
    </row>
    <row r="124">
      <c r="G124" s="5"/>
      <c r="H124" s="5"/>
      <c r="I124" s="5"/>
      <c r="J124" s="5"/>
      <c r="K124" s="5"/>
      <c r="L124" s="5"/>
      <c r="M124" s="149"/>
      <c r="N124" s="5"/>
      <c r="O124" s="5"/>
      <c r="P124" s="5"/>
    </row>
    <row r="125">
      <c r="G125" s="5"/>
      <c r="H125" s="5"/>
      <c r="I125" s="5"/>
      <c r="J125" s="5"/>
      <c r="K125" s="5"/>
      <c r="L125" s="5"/>
      <c r="M125" s="149"/>
      <c r="N125" s="5"/>
      <c r="O125" s="5"/>
      <c r="P125" s="5"/>
    </row>
    <row r="126">
      <c r="G126" s="5"/>
      <c r="H126" s="5"/>
      <c r="I126" s="5"/>
      <c r="J126" s="5"/>
      <c r="K126" s="5"/>
      <c r="L126" s="5"/>
      <c r="M126" s="149"/>
      <c r="N126" s="5"/>
      <c r="O126" s="5"/>
      <c r="P126" s="5"/>
    </row>
    <row r="127">
      <c r="G127" s="5"/>
      <c r="H127" s="5"/>
      <c r="I127" s="5"/>
      <c r="J127" s="5"/>
      <c r="K127" s="5"/>
      <c r="L127" s="5"/>
      <c r="M127" s="149"/>
      <c r="N127" s="5"/>
      <c r="O127" s="5"/>
      <c r="P127" s="5"/>
    </row>
    <row r="128">
      <c r="G128" s="5"/>
      <c r="H128" s="5"/>
      <c r="I128" s="5"/>
      <c r="J128" s="5"/>
      <c r="K128" s="5"/>
      <c r="L128" s="5"/>
      <c r="M128" s="149"/>
      <c r="N128" s="5"/>
      <c r="O128" s="5"/>
      <c r="P128" s="5"/>
    </row>
    <row r="129">
      <c r="G129" s="5"/>
      <c r="H129" s="5"/>
      <c r="I129" s="5"/>
      <c r="J129" s="5"/>
      <c r="K129" s="5"/>
      <c r="L129" s="5"/>
      <c r="M129" s="149"/>
      <c r="N129" s="5"/>
      <c r="O129" s="5"/>
      <c r="P129" s="5"/>
    </row>
    <row r="130">
      <c r="G130" s="5"/>
      <c r="H130" s="5"/>
      <c r="I130" s="5"/>
      <c r="J130" s="5"/>
      <c r="K130" s="5"/>
      <c r="L130" s="5"/>
      <c r="M130" s="149"/>
      <c r="N130" s="5"/>
      <c r="O130" s="5"/>
      <c r="P130" s="5"/>
    </row>
    <row r="131">
      <c r="G131" s="5"/>
      <c r="H131" s="5"/>
      <c r="I131" s="5"/>
      <c r="J131" s="5"/>
      <c r="K131" s="5"/>
      <c r="L131" s="5"/>
      <c r="M131" s="149"/>
      <c r="N131" s="5"/>
      <c r="O131" s="5"/>
      <c r="P131" s="5"/>
    </row>
    <row r="132">
      <c r="G132" s="5"/>
      <c r="H132" s="5"/>
      <c r="I132" s="5"/>
      <c r="J132" s="5"/>
      <c r="K132" s="5"/>
      <c r="L132" s="5"/>
      <c r="M132" s="149"/>
      <c r="N132" s="5"/>
      <c r="O132" s="5"/>
      <c r="P132" s="5"/>
    </row>
    <row r="133">
      <c r="G133" s="5"/>
      <c r="H133" s="5"/>
      <c r="I133" s="5"/>
      <c r="J133" s="5"/>
      <c r="K133" s="5"/>
      <c r="L133" s="5"/>
      <c r="M133" s="149"/>
      <c r="N133" s="5"/>
      <c r="O133" s="5"/>
      <c r="P133" s="5"/>
    </row>
    <row r="134">
      <c r="G134" s="5"/>
      <c r="H134" s="5"/>
      <c r="I134" s="5"/>
      <c r="J134" s="5"/>
      <c r="K134" s="5"/>
      <c r="L134" s="5"/>
      <c r="M134" s="149"/>
      <c r="N134" s="5"/>
      <c r="O134" s="5"/>
      <c r="P134" s="5"/>
    </row>
    <row r="135">
      <c r="G135" s="5"/>
      <c r="H135" s="5"/>
      <c r="I135" s="5"/>
      <c r="J135" s="5"/>
      <c r="K135" s="5"/>
      <c r="L135" s="5"/>
      <c r="M135" s="149"/>
      <c r="N135" s="5"/>
      <c r="O135" s="5"/>
      <c r="P135" s="5"/>
    </row>
    <row r="136">
      <c r="G136" s="5"/>
      <c r="H136" s="5"/>
      <c r="I136" s="5"/>
      <c r="J136" s="5"/>
      <c r="K136" s="5"/>
      <c r="L136" s="5"/>
      <c r="M136" s="149"/>
      <c r="N136" s="5"/>
      <c r="O136" s="5"/>
      <c r="P136" s="5"/>
    </row>
    <row r="137">
      <c r="G137" s="5"/>
      <c r="H137" s="5"/>
      <c r="I137" s="5"/>
      <c r="J137" s="5"/>
      <c r="K137" s="5"/>
      <c r="L137" s="5"/>
      <c r="M137" s="149"/>
      <c r="N137" s="5"/>
      <c r="O137" s="5"/>
      <c r="P137" s="5"/>
    </row>
    <row r="138">
      <c r="G138" s="5"/>
      <c r="H138" s="5"/>
      <c r="I138" s="5"/>
      <c r="J138" s="5"/>
      <c r="K138" s="5"/>
      <c r="L138" s="5"/>
      <c r="M138" s="149"/>
      <c r="N138" s="5"/>
      <c r="O138" s="5"/>
      <c r="P138" s="5"/>
    </row>
    <row r="139">
      <c r="G139" s="5"/>
      <c r="H139" s="5"/>
      <c r="I139" s="5"/>
      <c r="J139" s="5"/>
      <c r="K139" s="5"/>
      <c r="L139" s="5"/>
      <c r="M139" s="149"/>
      <c r="N139" s="5"/>
      <c r="O139" s="5"/>
      <c r="P139" s="5"/>
    </row>
    <row r="140">
      <c r="G140" s="5"/>
      <c r="H140" s="5"/>
      <c r="I140" s="5"/>
      <c r="J140" s="5"/>
      <c r="K140" s="5"/>
      <c r="L140" s="5"/>
      <c r="M140" s="149"/>
      <c r="N140" s="5"/>
      <c r="O140" s="5"/>
      <c r="P140" s="5"/>
    </row>
    <row r="141">
      <c r="G141" s="5"/>
      <c r="H141" s="5"/>
      <c r="I141" s="5"/>
      <c r="J141" s="5"/>
      <c r="K141" s="5"/>
      <c r="L141" s="5"/>
      <c r="M141" s="149"/>
      <c r="N141" s="5"/>
      <c r="O141" s="5"/>
      <c r="P141" s="5"/>
    </row>
    <row r="142">
      <c r="G142" s="5"/>
      <c r="H142" s="5"/>
      <c r="I142" s="5"/>
      <c r="J142" s="5"/>
      <c r="K142" s="5"/>
      <c r="L142" s="5"/>
      <c r="M142" s="149"/>
      <c r="N142" s="5"/>
      <c r="O142" s="5"/>
      <c r="P142" s="5"/>
    </row>
    <row r="143">
      <c r="G143" s="5"/>
      <c r="H143" s="5"/>
      <c r="I143" s="5"/>
      <c r="J143" s="5"/>
      <c r="K143" s="5"/>
      <c r="L143" s="5"/>
      <c r="M143" s="149"/>
      <c r="N143" s="5"/>
      <c r="O143" s="5"/>
      <c r="P143" s="5"/>
    </row>
    <row r="144">
      <c r="G144" s="5"/>
      <c r="H144" s="5"/>
      <c r="I144" s="5"/>
      <c r="J144" s="5"/>
      <c r="K144" s="5"/>
      <c r="L144" s="5"/>
      <c r="M144" s="149"/>
      <c r="N144" s="5"/>
      <c r="O144" s="5"/>
      <c r="P144" s="5"/>
    </row>
    <row r="145">
      <c r="G145" s="5"/>
      <c r="H145" s="5"/>
      <c r="I145" s="5"/>
      <c r="J145" s="5"/>
      <c r="K145" s="5"/>
      <c r="L145" s="5"/>
      <c r="M145" s="149"/>
      <c r="N145" s="5"/>
      <c r="O145" s="5"/>
      <c r="P145" s="5"/>
    </row>
    <row r="146">
      <c r="G146" s="5"/>
      <c r="H146" s="5"/>
      <c r="I146" s="5"/>
      <c r="J146" s="5"/>
      <c r="K146" s="5"/>
      <c r="L146" s="5"/>
      <c r="M146" s="149"/>
      <c r="N146" s="5"/>
      <c r="O146" s="5"/>
      <c r="P146" s="5"/>
    </row>
    <row r="147">
      <c r="G147" s="5"/>
      <c r="H147" s="5"/>
      <c r="I147" s="5"/>
      <c r="J147" s="5"/>
      <c r="K147" s="5"/>
      <c r="L147" s="5"/>
      <c r="M147" s="149"/>
      <c r="N147" s="5"/>
      <c r="O147" s="5"/>
      <c r="P147" s="5"/>
    </row>
    <row r="148">
      <c r="G148" s="5"/>
      <c r="H148" s="5"/>
      <c r="I148" s="5"/>
      <c r="J148" s="5"/>
      <c r="K148" s="5"/>
      <c r="L148" s="5"/>
      <c r="M148" s="149"/>
      <c r="N148" s="5"/>
      <c r="O148" s="5"/>
      <c r="P148" s="5"/>
    </row>
    <row r="149">
      <c r="G149" s="5"/>
      <c r="H149" s="5"/>
      <c r="I149" s="5"/>
      <c r="J149" s="5"/>
      <c r="K149" s="5"/>
      <c r="L149" s="5"/>
      <c r="M149" s="149"/>
      <c r="N149" s="5"/>
      <c r="O149" s="5"/>
      <c r="P149" s="5"/>
    </row>
    <row r="150">
      <c r="G150" s="5"/>
      <c r="H150" s="5"/>
      <c r="I150" s="5"/>
      <c r="J150" s="5"/>
      <c r="K150" s="5"/>
      <c r="L150" s="5"/>
      <c r="M150" s="149"/>
      <c r="N150" s="5"/>
      <c r="O150" s="5"/>
      <c r="P150" s="5"/>
    </row>
    <row r="151">
      <c r="G151" s="5"/>
      <c r="H151" s="5"/>
      <c r="I151" s="5"/>
      <c r="J151" s="5"/>
      <c r="K151" s="5"/>
      <c r="L151" s="5"/>
      <c r="M151" s="149"/>
      <c r="N151" s="5"/>
      <c r="O151" s="5"/>
      <c r="P151" s="5"/>
    </row>
    <row r="152">
      <c r="G152" s="5"/>
      <c r="H152" s="5"/>
      <c r="I152" s="5"/>
      <c r="J152" s="5"/>
      <c r="K152" s="5"/>
      <c r="L152" s="5"/>
      <c r="M152" s="149"/>
      <c r="N152" s="5"/>
      <c r="O152" s="5"/>
      <c r="P152" s="5"/>
    </row>
    <row r="153">
      <c r="G153" s="5"/>
      <c r="H153" s="5"/>
      <c r="I153" s="5"/>
      <c r="J153" s="5"/>
      <c r="K153" s="5"/>
      <c r="L153" s="5"/>
      <c r="M153" s="149"/>
      <c r="N153" s="5"/>
      <c r="O153" s="5"/>
      <c r="P153" s="5"/>
    </row>
    <row r="154">
      <c r="G154" s="5"/>
      <c r="H154" s="5"/>
      <c r="I154" s="5"/>
      <c r="J154" s="5"/>
      <c r="K154" s="5"/>
      <c r="L154" s="5"/>
      <c r="M154" s="149"/>
      <c r="N154" s="5"/>
      <c r="O154" s="5"/>
      <c r="P154" s="5"/>
    </row>
    <row r="155">
      <c r="G155" s="5"/>
      <c r="H155" s="5"/>
      <c r="I155" s="5"/>
      <c r="J155" s="5"/>
      <c r="K155" s="5"/>
      <c r="L155" s="5"/>
      <c r="M155" s="149"/>
      <c r="N155" s="5"/>
      <c r="O155" s="5"/>
      <c r="P155" s="5"/>
    </row>
    <row r="156">
      <c r="G156" s="5"/>
      <c r="H156" s="5"/>
      <c r="I156" s="5"/>
      <c r="J156" s="5"/>
      <c r="K156" s="5"/>
      <c r="L156" s="5"/>
      <c r="M156" s="149"/>
      <c r="N156" s="5"/>
      <c r="O156" s="5"/>
      <c r="P156" s="5"/>
    </row>
    <row r="157">
      <c r="G157" s="5"/>
      <c r="H157" s="5"/>
      <c r="I157" s="5"/>
      <c r="J157" s="5"/>
      <c r="K157" s="5"/>
      <c r="L157" s="5"/>
      <c r="M157" s="149"/>
      <c r="N157" s="5"/>
      <c r="O157" s="5"/>
      <c r="P157" s="5"/>
    </row>
    <row r="158">
      <c r="G158" s="5"/>
      <c r="H158" s="5"/>
      <c r="I158" s="5"/>
      <c r="J158" s="5"/>
      <c r="K158" s="5"/>
      <c r="L158" s="5"/>
      <c r="M158" s="149"/>
      <c r="N158" s="5"/>
      <c r="O158" s="5"/>
      <c r="P158" s="5"/>
    </row>
    <row r="159">
      <c r="G159" s="5"/>
      <c r="H159" s="5"/>
      <c r="I159" s="5"/>
      <c r="J159" s="5"/>
      <c r="K159" s="5"/>
      <c r="L159" s="5"/>
      <c r="M159" s="149"/>
      <c r="N159" s="5"/>
      <c r="O159" s="5"/>
      <c r="P159" s="5"/>
    </row>
    <row r="160">
      <c r="G160" s="5"/>
      <c r="H160" s="5"/>
      <c r="I160" s="5"/>
      <c r="J160" s="5"/>
      <c r="K160" s="5"/>
      <c r="L160" s="5"/>
      <c r="M160" s="149"/>
      <c r="N160" s="5"/>
      <c r="O160" s="5"/>
      <c r="P160" s="5"/>
    </row>
    <row r="161">
      <c r="G161" s="5"/>
      <c r="H161" s="5"/>
      <c r="I161" s="5"/>
      <c r="J161" s="5"/>
      <c r="K161" s="5"/>
      <c r="L161" s="5"/>
      <c r="M161" s="149"/>
      <c r="N161" s="5"/>
      <c r="O161" s="5"/>
      <c r="P161" s="5"/>
    </row>
    <row r="162">
      <c r="G162" s="5"/>
      <c r="H162" s="5"/>
      <c r="I162" s="5"/>
      <c r="J162" s="5"/>
      <c r="K162" s="5"/>
      <c r="L162" s="5"/>
      <c r="M162" s="149"/>
      <c r="N162" s="5"/>
      <c r="O162" s="5"/>
      <c r="P162" s="5"/>
    </row>
    <row r="163">
      <c r="G163" s="5"/>
      <c r="H163" s="5"/>
      <c r="I163" s="5"/>
      <c r="J163" s="5"/>
      <c r="K163" s="5"/>
      <c r="L163" s="5"/>
      <c r="M163" s="149"/>
      <c r="N163" s="5"/>
      <c r="O163" s="5"/>
      <c r="P163" s="5"/>
    </row>
    <row r="164">
      <c r="G164" s="5"/>
      <c r="H164" s="5"/>
      <c r="I164" s="5"/>
      <c r="J164" s="5"/>
      <c r="K164" s="5"/>
      <c r="L164" s="5"/>
      <c r="M164" s="149"/>
      <c r="N164" s="5"/>
      <c r="O164" s="5"/>
      <c r="P164" s="5"/>
    </row>
    <row r="165">
      <c r="G165" s="5"/>
      <c r="H165" s="5"/>
      <c r="I165" s="5"/>
      <c r="J165" s="5"/>
      <c r="K165" s="5"/>
      <c r="L165" s="5"/>
      <c r="M165" s="149"/>
      <c r="N165" s="5"/>
      <c r="O165" s="5"/>
      <c r="P165" s="5"/>
    </row>
    <row r="166">
      <c r="G166" s="5"/>
      <c r="H166" s="5"/>
      <c r="I166" s="5"/>
      <c r="J166" s="5"/>
      <c r="K166" s="5"/>
      <c r="L166" s="5"/>
      <c r="M166" s="149"/>
      <c r="N166" s="5"/>
      <c r="O166" s="5"/>
      <c r="P166" s="5"/>
    </row>
    <row r="167">
      <c r="G167" s="5"/>
      <c r="H167" s="5"/>
      <c r="I167" s="5"/>
      <c r="J167" s="5"/>
      <c r="K167" s="5"/>
      <c r="L167" s="5"/>
      <c r="M167" s="149"/>
      <c r="N167" s="5"/>
      <c r="O167" s="5"/>
      <c r="P167" s="5"/>
    </row>
    <row r="168">
      <c r="G168" s="5"/>
      <c r="H168" s="5"/>
      <c r="I168" s="5"/>
      <c r="J168" s="5"/>
      <c r="K168" s="5"/>
      <c r="L168" s="5"/>
      <c r="M168" s="149"/>
      <c r="N168" s="5"/>
      <c r="O168" s="5"/>
      <c r="P168" s="5"/>
    </row>
    <row r="169">
      <c r="G169" s="5"/>
      <c r="H169" s="5"/>
      <c r="I169" s="5"/>
      <c r="J169" s="5"/>
      <c r="K169" s="5"/>
      <c r="L169" s="5"/>
      <c r="M169" s="149"/>
      <c r="N169" s="5"/>
      <c r="O169" s="5"/>
      <c r="P169" s="5"/>
    </row>
    <row r="170">
      <c r="G170" s="5"/>
      <c r="H170" s="5"/>
      <c r="I170" s="5"/>
      <c r="J170" s="5"/>
      <c r="K170" s="5"/>
      <c r="L170" s="5"/>
      <c r="M170" s="149"/>
      <c r="N170" s="5"/>
      <c r="O170" s="5"/>
      <c r="P170" s="5"/>
    </row>
    <row r="171">
      <c r="G171" s="5"/>
      <c r="H171" s="5"/>
      <c r="I171" s="5"/>
      <c r="J171" s="5"/>
      <c r="K171" s="5"/>
      <c r="L171" s="5"/>
      <c r="M171" s="149"/>
      <c r="N171" s="5"/>
      <c r="O171" s="5"/>
      <c r="P171" s="5"/>
    </row>
    <row r="172">
      <c r="G172" s="5"/>
      <c r="H172" s="5"/>
      <c r="I172" s="5"/>
      <c r="J172" s="5"/>
      <c r="K172" s="5"/>
      <c r="L172" s="5"/>
      <c r="M172" s="149"/>
      <c r="N172" s="5"/>
      <c r="O172" s="5"/>
      <c r="P172" s="5"/>
    </row>
    <row r="173">
      <c r="G173" s="5"/>
      <c r="H173" s="5"/>
      <c r="I173" s="5"/>
      <c r="J173" s="5"/>
      <c r="K173" s="5"/>
      <c r="L173" s="5"/>
      <c r="M173" s="149"/>
      <c r="N173" s="5"/>
      <c r="O173" s="5"/>
      <c r="P173" s="5"/>
    </row>
    <row r="174">
      <c r="G174" s="5"/>
      <c r="H174" s="5"/>
      <c r="I174" s="5"/>
      <c r="J174" s="5"/>
      <c r="K174" s="5"/>
      <c r="L174" s="5"/>
      <c r="M174" s="149"/>
      <c r="N174" s="5"/>
      <c r="O174" s="5"/>
      <c r="P174" s="5"/>
    </row>
    <row r="175">
      <c r="G175" s="5"/>
      <c r="H175" s="5"/>
      <c r="I175" s="5"/>
      <c r="J175" s="5"/>
      <c r="K175" s="5"/>
      <c r="L175" s="5"/>
      <c r="M175" s="149"/>
      <c r="N175" s="5"/>
      <c r="O175" s="5"/>
      <c r="P175" s="5"/>
    </row>
    <row r="176">
      <c r="G176" s="5"/>
      <c r="H176" s="5"/>
      <c r="I176" s="5"/>
      <c r="J176" s="5"/>
      <c r="K176" s="5"/>
      <c r="L176" s="5"/>
      <c r="M176" s="149"/>
      <c r="N176" s="5"/>
      <c r="O176" s="5"/>
      <c r="P176" s="5"/>
    </row>
    <row r="177">
      <c r="G177" s="5"/>
      <c r="H177" s="5"/>
      <c r="I177" s="5"/>
      <c r="J177" s="5"/>
      <c r="K177" s="5"/>
      <c r="L177" s="5"/>
      <c r="M177" s="149"/>
      <c r="N177" s="5"/>
      <c r="O177" s="5"/>
      <c r="P177" s="5"/>
    </row>
    <row r="178">
      <c r="G178" s="5"/>
      <c r="H178" s="5"/>
      <c r="I178" s="5"/>
      <c r="J178" s="5"/>
      <c r="K178" s="5"/>
      <c r="L178" s="5"/>
      <c r="M178" s="149"/>
      <c r="N178" s="5"/>
      <c r="O178" s="5"/>
      <c r="P178" s="5"/>
    </row>
    <row r="179">
      <c r="G179" s="5"/>
      <c r="H179" s="5"/>
      <c r="I179" s="5"/>
      <c r="J179" s="5"/>
      <c r="K179" s="5"/>
      <c r="L179" s="5"/>
      <c r="M179" s="149"/>
      <c r="N179" s="5"/>
      <c r="O179" s="5"/>
      <c r="P179" s="5"/>
    </row>
    <row r="180">
      <c r="G180" s="5"/>
      <c r="H180" s="5"/>
      <c r="I180" s="5"/>
      <c r="J180" s="5"/>
      <c r="K180" s="5"/>
      <c r="L180" s="5"/>
      <c r="M180" s="149"/>
      <c r="N180" s="5"/>
      <c r="O180" s="5"/>
      <c r="P180" s="5"/>
    </row>
    <row r="181">
      <c r="G181" s="5"/>
      <c r="H181" s="5"/>
      <c r="I181" s="5"/>
      <c r="J181" s="5"/>
      <c r="K181" s="5"/>
      <c r="L181" s="5"/>
      <c r="M181" s="149"/>
      <c r="N181" s="5"/>
      <c r="O181" s="5"/>
      <c r="P181" s="5"/>
    </row>
    <row r="182">
      <c r="G182" s="5"/>
      <c r="H182" s="5"/>
      <c r="I182" s="5"/>
      <c r="J182" s="5"/>
      <c r="K182" s="5"/>
      <c r="L182" s="5"/>
      <c r="M182" s="149"/>
      <c r="N182" s="5"/>
      <c r="O182" s="5"/>
      <c r="P182" s="5"/>
    </row>
    <row r="183">
      <c r="G183" s="5"/>
      <c r="H183" s="5"/>
      <c r="I183" s="5"/>
      <c r="J183" s="5"/>
      <c r="K183" s="5"/>
      <c r="L183" s="5"/>
      <c r="M183" s="149"/>
      <c r="N183" s="5"/>
      <c r="O183" s="5"/>
      <c r="P183" s="5"/>
    </row>
    <row r="184">
      <c r="G184" s="5"/>
      <c r="H184" s="5"/>
      <c r="I184" s="5"/>
      <c r="J184" s="5"/>
      <c r="K184" s="5"/>
      <c r="L184" s="5"/>
      <c r="M184" s="149"/>
      <c r="N184" s="5"/>
      <c r="O184" s="5"/>
      <c r="P184" s="5"/>
    </row>
    <row r="185">
      <c r="G185" s="5"/>
      <c r="H185" s="5"/>
      <c r="I185" s="5"/>
      <c r="J185" s="5"/>
      <c r="K185" s="5"/>
      <c r="L185" s="5"/>
      <c r="M185" s="149"/>
      <c r="N185" s="5"/>
      <c r="O185" s="5"/>
      <c r="P185" s="5"/>
    </row>
    <row r="186">
      <c r="G186" s="5"/>
      <c r="H186" s="5"/>
      <c r="I186" s="5"/>
      <c r="J186" s="5"/>
      <c r="K186" s="5"/>
      <c r="L186" s="5"/>
      <c r="M186" s="149"/>
      <c r="N186" s="5"/>
      <c r="O186" s="5"/>
      <c r="P186" s="5"/>
    </row>
    <row r="187">
      <c r="G187" s="5"/>
      <c r="H187" s="5"/>
      <c r="I187" s="5"/>
      <c r="J187" s="5"/>
      <c r="K187" s="5"/>
      <c r="L187" s="5"/>
      <c r="M187" s="149"/>
      <c r="N187" s="5"/>
      <c r="O187" s="5"/>
      <c r="P187" s="5"/>
    </row>
    <row r="188">
      <c r="G188" s="5"/>
      <c r="H188" s="5"/>
      <c r="I188" s="5"/>
      <c r="J188" s="5"/>
      <c r="K188" s="5"/>
      <c r="L188" s="5"/>
      <c r="M188" s="149"/>
      <c r="N188" s="5"/>
      <c r="O188" s="5"/>
      <c r="P188" s="5"/>
    </row>
    <row r="189">
      <c r="G189" s="5"/>
      <c r="H189" s="5"/>
      <c r="I189" s="5"/>
      <c r="J189" s="5"/>
      <c r="K189" s="5"/>
      <c r="L189" s="5"/>
      <c r="M189" s="149"/>
      <c r="N189" s="5"/>
      <c r="O189" s="5"/>
      <c r="P189" s="5"/>
    </row>
    <row r="190">
      <c r="G190" s="5"/>
      <c r="H190" s="5"/>
      <c r="I190" s="5"/>
      <c r="J190" s="5"/>
      <c r="K190" s="5"/>
      <c r="L190" s="5"/>
      <c r="M190" s="149"/>
      <c r="N190" s="5"/>
      <c r="O190" s="5"/>
      <c r="P190" s="5"/>
    </row>
    <row r="191">
      <c r="G191" s="5"/>
      <c r="H191" s="5"/>
      <c r="I191" s="5"/>
      <c r="J191" s="5"/>
      <c r="K191" s="5"/>
      <c r="L191" s="5"/>
      <c r="M191" s="149"/>
      <c r="N191" s="5"/>
      <c r="O191" s="5"/>
      <c r="P191" s="5"/>
    </row>
    <row r="192">
      <c r="G192" s="5"/>
      <c r="H192" s="5"/>
      <c r="I192" s="5"/>
      <c r="J192" s="5"/>
      <c r="K192" s="5"/>
      <c r="L192" s="5"/>
      <c r="M192" s="149"/>
      <c r="N192" s="5"/>
      <c r="O192" s="5"/>
      <c r="P192" s="5"/>
    </row>
    <row r="193">
      <c r="G193" s="5"/>
      <c r="H193" s="5"/>
      <c r="I193" s="5"/>
      <c r="J193" s="5"/>
      <c r="K193" s="5"/>
      <c r="L193" s="5"/>
      <c r="M193" s="149"/>
      <c r="N193" s="5"/>
      <c r="O193" s="5"/>
      <c r="P193" s="5"/>
    </row>
    <row r="194">
      <c r="G194" s="5"/>
      <c r="H194" s="5"/>
      <c r="I194" s="5"/>
      <c r="J194" s="5"/>
      <c r="K194" s="5"/>
      <c r="L194" s="5"/>
      <c r="M194" s="149"/>
      <c r="N194" s="5"/>
      <c r="O194" s="5"/>
      <c r="P194" s="5"/>
    </row>
    <row r="195">
      <c r="G195" s="5"/>
      <c r="H195" s="5"/>
      <c r="I195" s="5"/>
      <c r="J195" s="5"/>
      <c r="K195" s="5"/>
      <c r="L195" s="5"/>
      <c r="M195" s="149"/>
      <c r="N195" s="5"/>
      <c r="O195" s="5"/>
      <c r="P195" s="5"/>
    </row>
    <row r="196">
      <c r="G196" s="5"/>
      <c r="H196" s="5"/>
      <c r="I196" s="5"/>
      <c r="J196" s="5"/>
      <c r="K196" s="5"/>
      <c r="L196" s="5"/>
      <c r="M196" s="149"/>
      <c r="N196" s="5"/>
      <c r="O196" s="5"/>
      <c r="P196" s="5"/>
    </row>
    <row r="197">
      <c r="G197" s="5"/>
      <c r="H197" s="5"/>
      <c r="I197" s="5"/>
      <c r="J197" s="5"/>
      <c r="K197" s="5"/>
      <c r="L197" s="5"/>
      <c r="M197" s="149"/>
      <c r="N197" s="5"/>
      <c r="O197" s="5"/>
      <c r="P197" s="5"/>
    </row>
    <row r="198">
      <c r="G198" s="5"/>
      <c r="H198" s="5"/>
      <c r="I198" s="5"/>
      <c r="J198" s="5"/>
      <c r="K198" s="5"/>
      <c r="L198" s="5"/>
      <c r="M198" s="149"/>
      <c r="N198" s="5"/>
      <c r="O198" s="5"/>
      <c r="P198" s="5"/>
    </row>
    <row r="199">
      <c r="G199" s="5"/>
      <c r="H199" s="5"/>
      <c r="I199" s="5"/>
      <c r="J199" s="5"/>
      <c r="K199" s="5"/>
      <c r="L199" s="5"/>
      <c r="M199" s="149"/>
      <c r="N199" s="5"/>
      <c r="O199" s="5"/>
      <c r="P199" s="5"/>
    </row>
    <row r="200">
      <c r="G200" s="5"/>
      <c r="H200" s="5"/>
      <c r="I200" s="5"/>
      <c r="J200" s="5"/>
      <c r="K200" s="5"/>
      <c r="L200" s="5"/>
      <c r="M200" s="149"/>
      <c r="N200" s="5"/>
      <c r="O200" s="5"/>
      <c r="P200" s="5"/>
    </row>
    <row r="201">
      <c r="G201" s="5"/>
      <c r="H201" s="5"/>
      <c r="I201" s="5"/>
      <c r="J201" s="5"/>
      <c r="K201" s="5"/>
      <c r="L201" s="5"/>
      <c r="M201" s="149"/>
      <c r="N201" s="5"/>
      <c r="O201" s="5"/>
      <c r="P201" s="5"/>
    </row>
    <row r="202">
      <c r="G202" s="5"/>
      <c r="H202" s="5"/>
      <c r="I202" s="5"/>
      <c r="J202" s="5"/>
      <c r="K202" s="5"/>
      <c r="L202" s="5"/>
      <c r="M202" s="149"/>
      <c r="N202" s="5"/>
      <c r="O202" s="5"/>
      <c r="P202" s="5"/>
    </row>
    <row r="203">
      <c r="G203" s="5"/>
      <c r="H203" s="5"/>
      <c r="I203" s="5"/>
      <c r="J203" s="5"/>
      <c r="K203" s="5"/>
      <c r="L203" s="5"/>
      <c r="M203" s="149"/>
      <c r="N203" s="5"/>
      <c r="O203" s="5"/>
      <c r="P203" s="5"/>
    </row>
    <row r="204">
      <c r="G204" s="5"/>
      <c r="H204" s="5"/>
      <c r="I204" s="5"/>
      <c r="J204" s="5"/>
      <c r="K204" s="5"/>
      <c r="L204" s="5"/>
      <c r="M204" s="149"/>
      <c r="N204" s="5"/>
      <c r="O204" s="5"/>
      <c r="P204" s="5"/>
    </row>
    <row r="205">
      <c r="G205" s="5"/>
      <c r="H205" s="5"/>
      <c r="I205" s="5"/>
      <c r="J205" s="5"/>
      <c r="K205" s="5"/>
      <c r="L205" s="5"/>
      <c r="M205" s="149"/>
      <c r="N205" s="5"/>
      <c r="O205" s="5"/>
      <c r="P205" s="5"/>
    </row>
    <row r="206">
      <c r="G206" s="5"/>
      <c r="H206" s="5"/>
      <c r="I206" s="5"/>
      <c r="J206" s="5"/>
      <c r="K206" s="5"/>
      <c r="L206" s="5"/>
      <c r="M206" s="149"/>
      <c r="N206" s="5"/>
      <c r="O206" s="5"/>
      <c r="P206" s="5"/>
    </row>
    <row r="207">
      <c r="G207" s="5"/>
      <c r="H207" s="5"/>
      <c r="I207" s="5"/>
      <c r="J207" s="5"/>
      <c r="K207" s="5"/>
      <c r="L207" s="5"/>
      <c r="M207" s="149"/>
      <c r="N207" s="5"/>
      <c r="O207" s="5"/>
      <c r="P207" s="5"/>
    </row>
    <row r="208">
      <c r="G208" s="5"/>
      <c r="H208" s="5"/>
      <c r="I208" s="5"/>
      <c r="J208" s="5"/>
      <c r="K208" s="5"/>
      <c r="L208" s="5"/>
      <c r="M208" s="149"/>
      <c r="N208" s="5"/>
      <c r="O208" s="5"/>
      <c r="P208" s="5"/>
    </row>
    <row r="209">
      <c r="G209" s="5"/>
      <c r="H209" s="5"/>
      <c r="I209" s="5"/>
      <c r="J209" s="5"/>
      <c r="K209" s="5"/>
      <c r="L209" s="5"/>
      <c r="M209" s="149"/>
      <c r="N209" s="5"/>
      <c r="O209" s="5"/>
      <c r="P209" s="5"/>
    </row>
    <row r="210">
      <c r="G210" s="5"/>
      <c r="H210" s="5"/>
      <c r="I210" s="5"/>
      <c r="J210" s="5"/>
      <c r="K210" s="5"/>
      <c r="L210" s="5"/>
      <c r="M210" s="149"/>
      <c r="N210" s="5"/>
      <c r="O210" s="5"/>
      <c r="P210" s="5"/>
    </row>
    <row r="211">
      <c r="G211" s="5"/>
      <c r="H211" s="5"/>
      <c r="I211" s="5"/>
      <c r="J211" s="5"/>
      <c r="K211" s="5"/>
      <c r="L211" s="5"/>
      <c r="M211" s="149"/>
      <c r="N211" s="5"/>
      <c r="O211" s="5"/>
      <c r="P211" s="5"/>
    </row>
    <row r="212">
      <c r="G212" s="5"/>
      <c r="H212" s="5"/>
      <c r="I212" s="5"/>
      <c r="J212" s="5"/>
      <c r="K212" s="5"/>
      <c r="L212" s="5"/>
      <c r="M212" s="149"/>
      <c r="N212" s="5"/>
      <c r="O212" s="5"/>
      <c r="P212" s="5"/>
    </row>
    <row r="213">
      <c r="G213" s="5"/>
      <c r="H213" s="5"/>
      <c r="I213" s="5"/>
      <c r="J213" s="5"/>
      <c r="K213" s="5"/>
      <c r="L213" s="5"/>
      <c r="M213" s="149"/>
      <c r="N213" s="5"/>
      <c r="O213" s="5"/>
      <c r="P213" s="5"/>
    </row>
    <row r="214">
      <c r="G214" s="5"/>
      <c r="H214" s="5"/>
      <c r="I214" s="5"/>
      <c r="J214" s="5"/>
      <c r="K214" s="5"/>
      <c r="L214" s="5"/>
      <c r="M214" s="149"/>
      <c r="N214" s="5"/>
      <c r="O214" s="5"/>
      <c r="P214" s="5"/>
    </row>
    <row r="215">
      <c r="G215" s="5"/>
      <c r="H215" s="5"/>
      <c r="I215" s="5"/>
      <c r="J215" s="5"/>
      <c r="K215" s="5"/>
      <c r="L215" s="5"/>
      <c r="M215" s="149"/>
      <c r="N215" s="5"/>
      <c r="O215" s="5"/>
      <c r="P215" s="5"/>
    </row>
    <row r="216">
      <c r="G216" s="5"/>
      <c r="H216" s="5"/>
      <c r="I216" s="5"/>
      <c r="J216" s="5"/>
      <c r="K216" s="5"/>
      <c r="L216" s="5"/>
      <c r="M216" s="149"/>
      <c r="N216" s="5"/>
      <c r="O216" s="5"/>
      <c r="P216" s="5"/>
    </row>
    <row r="217">
      <c r="G217" s="5"/>
      <c r="H217" s="5"/>
      <c r="I217" s="5"/>
      <c r="J217" s="5"/>
      <c r="K217" s="5"/>
      <c r="L217" s="5"/>
      <c r="M217" s="149"/>
      <c r="N217" s="5"/>
      <c r="O217" s="5"/>
      <c r="P217" s="5"/>
    </row>
    <row r="218">
      <c r="G218" s="5"/>
      <c r="H218" s="5"/>
      <c r="I218" s="5"/>
      <c r="J218" s="5"/>
      <c r="K218" s="5"/>
      <c r="L218" s="5"/>
      <c r="M218" s="149"/>
      <c r="N218" s="5"/>
      <c r="O218" s="5"/>
      <c r="P218" s="5"/>
    </row>
    <row r="219">
      <c r="G219" s="5"/>
      <c r="H219" s="5"/>
      <c r="I219" s="5"/>
      <c r="J219" s="5"/>
      <c r="K219" s="5"/>
      <c r="L219" s="5"/>
      <c r="M219" s="149"/>
      <c r="N219" s="5"/>
      <c r="O219" s="5"/>
      <c r="P219" s="5"/>
    </row>
    <row r="220">
      <c r="G220" s="5"/>
      <c r="H220" s="5"/>
      <c r="I220" s="5"/>
      <c r="J220" s="5"/>
      <c r="K220" s="5"/>
      <c r="L220" s="5"/>
      <c r="M220" s="149"/>
      <c r="N220" s="5"/>
      <c r="O220" s="5"/>
      <c r="P220" s="5"/>
    </row>
    <row r="221">
      <c r="G221" s="5"/>
      <c r="H221" s="5"/>
      <c r="I221" s="5"/>
      <c r="J221" s="5"/>
      <c r="K221" s="5"/>
      <c r="L221" s="5"/>
      <c r="M221" s="149"/>
      <c r="N221" s="5"/>
      <c r="O221" s="5"/>
      <c r="P221" s="5"/>
    </row>
    <row r="222">
      <c r="G222" s="5"/>
      <c r="H222" s="5"/>
      <c r="I222" s="5"/>
      <c r="J222" s="5"/>
      <c r="K222" s="5"/>
      <c r="L222" s="5"/>
      <c r="M222" s="149"/>
      <c r="N222" s="5"/>
      <c r="O222" s="5"/>
      <c r="P222" s="5"/>
    </row>
    <row r="223">
      <c r="G223" s="5"/>
      <c r="H223" s="5"/>
      <c r="I223" s="5"/>
      <c r="J223" s="5"/>
      <c r="K223" s="5"/>
      <c r="L223" s="5"/>
      <c r="M223" s="149"/>
      <c r="N223" s="5"/>
      <c r="O223" s="5"/>
      <c r="P223" s="5"/>
    </row>
    <row r="224">
      <c r="G224" s="5"/>
      <c r="H224" s="5"/>
      <c r="I224" s="5"/>
      <c r="J224" s="5"/>
      <c r="K224" s="5"/>
      <c r="L224" s="5"/>
      <c r="M224" s="149"/>
      <c r="N224" s="5"/>
      <c r="O224" s="5"/>
      <c r="P224" s="5"/>
    </row>
    <row r="225">
      <c r="G225" s="5"/>
      <c r="H225" s="5"/>
      <c r="I225" s="5"/>
      <c r="J225" s="5"/>
      <c r="K225" s="5"/>
      <c r="L225" s="5"/>
      <c r="M225" s="149"/>
      <c r="N225" s="5"/>
      <c r="O225" s="5"/>
      <c r="P225" s="5"/>
    </row>
    <row r="226">
      <c r="G226" s="5"/>
      <c r="H226" s="5"/>
      <c r="I226" s="5"/>
      <c r="J226" s="5"/>
      <c r="K226" s="5"/>
      <c r="L226" s="5"/>
      <c r="M226" s="149"/>
      <c r="N226" s="5"/>
      <c r="O226" s="5"/>
      <c r="P226" s="5"/>
    </row>
    <row r="227">
      <c r="G227" s="5"/>
      <c r="H227" s="5"/>
      <c r="I227" s="5"/>
      <c r="J227" s="5"/>
      <c r="K227" s="5"/>
      <c r="L227" s="5"/>
      <c r="M227" s="149"/>
      <c r="N227" s="5"/>
      <c r="O227" s="5"/>
      <c r="P227" s="5"/>
    </row>
    <row r="228">
      <c r="G228" s="5"/>
      <c r="H228" s="5"/>
      <c r="I228" s="5"/>
      <c r="J228" s="5"/>
      <c r="K228" s="5"/>
      <c r="L228" s="5"/>
      <c r="M228" s="149"/>
      <c r="N228" s="5"/>
      <c r="O228" s="5"/>
      <c r="P228" s="5"/>
    </row>
    <row r="229">
      <c r="G229" s="5"/>
      <c r="H229" s="5"/>
      <c r="I229" s="5"/>
      <c r="J229" s="5"/>
      <c r="K229" s="5"/>
      <c r="L229" s="5"/>
      <c r="M229" s="149"/>
      <c r="N229" s="5"/>
      <c r="O229" s="5"/>
      <c r="P229" s="5"/>
    </row>
    <row r="230">
      <c r="G230" s="5"/>
      <c r="H230" s="5"/>
      <c r="I230" s="5"/>
      <c r="J230" s="5"/>
      <c r="K230" s="5"/>
      <c r="L230" s="5"/>
      <c r="M230" s="149"/>
      <c r="N230" s="5"/>
      <c r="O230" s="5"/>
      <c r="P230" s="5"/>
    </row>
    <row r="231">
      <c r="G231" s="5"/>
      <c r="H231" s="5"/>
      <c r="I231" s="5"/>
      <c r="J231" s="5"/>
      <c r="K231" s="5"/>
      <c r="L231" s="5"/>
      <c r="M231" s="149"/>
      <c r="N231" s="5"/>
      <c r="O231" s="5"/>
      <c r="P231" s="5"/>
    </row>
    <row r="232">
      <c r="G232" s="5"/>
      <c r="H232" s="5"/>
      <c r="I232" s="5"/>
      <c r="J232" s="5"/>
      <c r="K232" s="5"/>
      <c r="L232" s="5"/>
      <c r="M232" s="149"/>
      <c r="N232" s="5"/>
      <c r="O232" s="5"/>
      <c r="P232" s="5"/>
    </row>
    <row r="233">
      <c r="G233" s="5"/>
      <c r="H233" s="5"/>
      <c r="I233" s="5"/>
      <c r="J233" s="5"/>
      <c r="K233" s="5"/>
      <c r="L233" s="5"/>
      <c r="M233" s="149"/>
      <c r="N233" s="5"/>
      <c r="O233" s="5"/>
      <c r="P233" s="5"/>
    </row>
    <row r="234">
      <c r="G234" s="5"/>
      <c r="H234" s="5"/>
      <c r="I234" s="5"/>
      <c r="J234" s="5"/>
      <c r="K234" s="5"/>
      <c r="L234" s="5"/>
      <c r="M234" s="149"/>
      <c r="N234" s="5"/>
      <c r="O234" s="5"/>
      <c r="P234" s="5"/>
    </row>
    <row r="235">
      <c r="G235" s="5"/>
      <c r="H235" s="5"/>
      <c r="I235" s="5"/>
      <c r="J235" s="5"/>
      <c r="K235" s="5"/>
      <c r="L235" s="5"/>
      <c r="M235" s="149"/>
      <c r="N235" s="5"/>
      <c r="O235" s="5"/>
      <c r="P235" s="5"/>
    </row>
    <row r="236">
      <c r="G236" s="5"/>
      <c r="H236" s="5"/>
      <c r="I236" s="5"/>
      <c r="J236" s="5"/>
      <c r="K236" s="5"/>
      <c r="L236" s="5"/>
      <c r="M236" s="149"/>
      <c r="N236" s="5"/>
      <c r="O236" s="5"/>
      <c r="P236" s="5"/>
    </row>
    <row r="237">
      <c r="G237" s="5"/>
      <c r="H237" s="5"/>
      <c r="I237" s="5"/>
      <c r="J237" s="5"/>
      <c r="K237" s="5"/>
      <c r="L237" s="5"/>
      <c r="M237" s="149"/>
      <c r="N237" s="5"/>
      <c r="O237" s="5"/>
      <c r="P237" s="5"/>
    </row>
    <row r="238">
      <c r="G238" s="5"/>
      <c r="H238" s="5"/>
      <c r="I238" s="5"/>
      <c r="J238" s="5"/>
      <c r="K238" s="5"/>
      <c r="L238" s="5"/>
      <c r="M238" s="149"/>
      <c r="N238" s="5"/>
      <c r="O238" s="5"/>
      <c r="P238" s="5"/>
    </row>
    <row r="239">
      <c r="G239" s="5"/>
      <c r="H239" s="5"/>
      <c r="I239" s="5"/>
      <c r="J239" s="5"/>
      <c r="K239" s="5"/>
      <c r="L239" s="5"/>
      <c r="M239" s="149"/>
      <c r="N239" s="5"/>
      <c r="O239" s="5"/>
      <c r="P239" s="5"/>
    </row>
    <row r="240">
      <c r="G240" s="5"/>
      <c r="H240" s="5"/>
      <c r="I240" s="5"/>
      <c r="J240" s="5"/>
      <c r="K240" s="5"/>
      <c r="L240" s="5"/>
      <c r="M240" s="149"/>
      <c r="N240" s="5"/>
      <c r="O240" s="5"/>
      <c r="P240" s="5"/>
    </row>
    <row r="241">
      <c r="G241" s="5"/>
      <c r="H241" s="5"/>
      <c r="I241" s="5"/>
      <c r="J241" s="5"/>
      <c r="K241" s="5"/>
      <c r="L241" s="5"/>
      <c r="M241" s="149"/>
      <c r="N241" s="5"/>
      <c r="O241" s="5"/>
      <c r="P241" s="5"/>
    </row>
    <row r="242">
      <c r="G242" s="5"/>
      <c r="H242" s="5"/>
      <c r="I242" s="5"/>
      <c r="J242" s="5"/>
      <c r="K242" s="5"/>
      <c r="L242" s="5"/>
      <c r="M242" s="149"/>
      <c r="N242" s="5"/>
      <c r="O242" s="5"/>
      <c r="P242" s="5"/>
    </row>
    <row r="243">
      <c r="G243" s="5"/>
      <c r="H243" s="5"/>
      <c r="I243" s="5"/>
      <c r="J243" s="5"/>
      <c r="K243" s="5"/>
      <c r="L243" s="5"/>
      <c r="M243" s="149"/>
      <c r="N243" s="5"/>
      <c r="O243" s="5"/>
      <c r="P243" s="5"/>
    </row>
    <row r="244">
      <c r="G244" s="5"/>
      <c r="H244" s="5"/>
      <c r="I244" s="5"/>
      <c r="J244" s="5"/>
      <c r="K244" s="5"/>
      <c r="L244" s="5"/>
      <c r="M244" s="149"/>
      <c r="N244" s="5"/>
      <c r="O244" s="5"/>
      <c r="P244" s="5"/>
    </row>
    <row r="245">
      <c r="G245" s="5"/>
      <c r="H245" s="5"/>
      <c r="I245" s="5"/>
      <c r="J245" s="5"/>
      <c r="K245" s="5"/>
      <c r="L245" s="5"/>
      <c r="M245" s="149"/>
      <c r="N245" s="5"/>
      <c r="O245" s="5"/>
      <c r="P245" s="5"/>
    </row>
    <row r="246">
      <c r="G246" s="5"/>
      <c r="H246" s="5"/>
      <c r="I246" s="5"/>
      <c r="J246" s="5"/>
      <c r="K246" s="5"/>
      <c r="L246" s="5"/>
      <c r="M246" s="149"/>
      <c r="N246" s="5"/>
      <c r="O246" s="5"/>
      <c r="P246" s="5"/>
    </row>
    <row r="247">
      <c r="G247" s="5"/>
      <c r="H247" s="5"/>
      <c r="I247" s="5"/>
      <c r="J247" s="5"/>
      <c r="K247" s="5"/>
      <c r="L247" s="5"/>
      <c r="M247" s="149"/>
      <c r="N247" s="5"/>
      <c r="O247" s="5"/>
      <c r="P247" s="5"/>
    </row>
    <row r="248">
      <c r="G248" s="5"/>
      <c r="H248" s="5"/>
      <c r="I248" s="5"/>
      <c r="J248" s="5"/>
      <c r="K248" s="5"/>
      <c r="L248" s="5"/>
      <c r="M248" s="149"/>
      <c r="N248" s="5"/>
      <c r="O248" s="5"/>
      <c r="P248" s="5"/>
    </row>
    <row r="249">
      <c r="G249" s="5"/>
      <c r="H249" s="5"/>
      <c r="I249" s="5"/>
      <c r="J249" s="5"/>
      <c r="K249" s="5"/>
      <c r="L249" s="5"/>
      <c r="M249" s="149"/>
      <c r="N249" s="5"/>
      <c r="O249" s="5"/>
      <c r="P249" s="5"/>
    </row>
    <row r="250">
      <c r="G250" s="5"/>
      <c r="H250" s="5"/>
      <c r="I250" s="5"/>
      <c r="J250" s="5"/>
      <c r="K250" s="5"/>
      <c r="L250" s="5"/>
      <c r="M250" s="149"/>
      <c r="N250" s="5"/>
      <c r="O250" s="5"/>
      <c r="P250" s="5"/>
    </row>
    <row r="251">
      <c r="G251" s="5"/>
      <c r="H251" s="5"/>
      <c r="I251" s="5"/>
      <c r="J251" s="5"/>
      <c r="K251" s="5"/>
      <c r="L251" s="5"/>
      <c r="M251" s="149"/>
      <c r="N251" s="5"/>
      <c r="O251" s="5"/>
      <c r="P251" s="5"/>
    </row>
    <row r="252">
      <c r="G252" s="5"/>
      <c r="H252" s="5"/>
      <c r="I252" s="5"/>
      <c r="J252" s="5"/>
      <c r="K252" s="5"/>
      <c r="L252" s="5"/>
      <c r="M252" s="149"/>
      <c r="N252" s="5"/>
      <c r="O252" s="5"/>
      <c r="P252" s="5"/>
    </row>
    <row r="253">
      <c r="G253" s="5"/>
      <c r="H253" s="5"/>
      <c r="I253" s="5"/>
      <c r="J253" s="5"/>
      <c r="K253" s="5"/>
      <c r="L253" s="5"/>
      <c r="M253" s="149"/>
      <c r="N253" s="5"/>
      <c r="O253" s="5"/>
      <c r="P253" s="5"/>
    </row>
    <row r="254">
      <c r="G254" s="5"/>
      <c r="H254" s="5"/>
      <c r="I254" s="5"/>
      <c r="J254" s="5"/>
      <c r="K254" s="5"/>
      <c r="L254" s="5"/>
      <c r="M254" s="149"/>
      <c r="N254" s="5"/>
      <c r="O254" s="5"/>
      <c r="P254" s="5"/>
    </row>
    <row r="255">
      <c r="G255" s="5"/>
      <c r="H255" s="5"/>
      <c r="I255" s="5"/>
      <c r="J255" s="5"/>
      <c r="K255" s="5"/>
      <c r="L255" s="5"/>
      <c r="M255" s="149"/>
      <c r="N255" s="5"/>
      <c r="O255" s="5"/>
      <c r="P255" s="5"/>
    </row>
    <row r="256">
      <c r="G256" s="5"/>
      <c r="H256" s="5"/>
      <c r="I256" s="5"/>
      <c r="J256" s="5"/>
      <c r="K256" s="5"/>
      <c r="L256" s="5"/>
      <c r="M256" s="149"/>
      <c r="N256" s="5"/>
      <c r="O256" s="5"/>
      <c r="P256" s="5"/>
    </row>
    <row r="257">
      <c r="G257" s="5"/>
      <c r="H257" s="5"/>
      <c r="I257" s="5"/>
      <c r="J257" s="5"/>
      <c r="K257" s="5"/>
      <c r="L257" s="5"/>
      <c r="M257" s="149"/>
      <c r="N257" s="5"/>
      <c r="O257" s="5"/>
      <c r="P257" s="5"/>
    </row>
    <row r="258">
      <c r="G258" s="5"/>
      <c r="H258" s="5"/>
      <c r="I258" s="5"/>
      <c r="J258" s="5"/>
      <c r="K258" s="5"/>
      <c r="L258" s="5"/>
      <c r="M258" s="149"/>
      <c r="N258" s="5"/>
      <c r="O258" s="5"/>
      <c r="P258" s="5"/>
    </row>
    <row r="259">
      <c r="G259" s="5"/>
      <c r="H259" s="5"/>
      <c r="I259" s="5"/>
      <c r="J259" s="5"/>
      <c r="K259" s="5"/>
      <c r="L259" s="5"/>
      <c r="M259" s="149"/>
      <c r="N259" s="5"/>
      <c r="O259" s="5"/>
      <c r="P259" s="5"/>
    </row>
    <row r="260">
      <c r="G260" s="5"/>
      <c r="H260" s="5"/>
      <c r="I260" s="5"/>
      <c r="J260" s="5"/>
      <c r="K260" s="5"/>
      <c r="L260" s="5"/>
      <c r="M260" s="149"/>
      <c r="N260" s="5"/>
      <c r="O260" s="5"/>
      <c r="P260" s="5"/>
    </row>
    <row r="261">
      <c r="G261" s="5"/>
      <c r="H261" s="5"/>
      <c r="I261" s="5"/>
      <c r="J261" s="5"/>
      <c r="K261" s="5"/>
      <c r="L261" s="5"/>
      <c r="M261" s="149"/>
      <c r="N261" s="5"/>
      <c r="O261" s="5"/>
      <c r="P261" s="5"/>
    </row>
    <row r="262">
      <c r="G262" s="5"/>
      <c r="H262" s="5"/>
      <c r="I262" s="5"/>
      <c r="J262" s="5"/>
      <c r="K262" s="5"/>
      <c r="L262" s="5"/>
      <c r="M262" s="149"/>
      <c r="N262" s="5"/>
      <c r="O262" s="5"/>
      <c r="P262" s="5"/>
    </row>
    <row r="263">
      <c r="G263" s="5"/>
      <c r="H263" s="5"/>
      <c r="I263" s="5"/>
      <c r="J263" s="5"/>
      <c r="K263" s="5"/>
      <c r="L263" s="5"/>
      <c r="M263" s="149"/>
      <c r="N263" s="5"/>
      <c r="O263" s="5"/>
      <c r="P263" s="5"/>
    </row>
    <row r="264">
      <c r="G264" s="5"/>
      <c r="H264" s="5"/>
      <c r="I264" s="5"/>
      <c r="J264" s="5"/>
      <c r="K264" s="5"/>
      <c r="L264" s="5"/>
      <c r="M264" s="149"/>
      <c r="N264" s="5"/>
      <c r="O264" s="5"/>
      <c r="P264" s="5"/>
    </row>
    <row r="265">
      <c r="G265" s="5"/>
      <c r="H265" s="5"/>
      <c r="I265" s="5"/>
      <c r="J265" s="5"/>
      <c r="K265" s="5"/>
      <c r="L265" s="5"/>
      <c r="M265" s="149"/>
      <c r="N265" s="5"/>
      <c r="O265" s="5"/>
      <c r="P265" s="5"/>
    </row>
    <row r="266">
      <c r="G266" s="5"/>
      <c r="H266" s="5"/>
      <c r="I266" s="5"/>
      <c r="J266" s="5"/>
      <c r="K266" s="5"/>
      <c r="L266" s="5"/>
      <c r="M266" s="149"/>
      <c r="N266" s="5"/>
      <c r="O266" s="5"/>
      <c r="P266" s="5"/>
    </row>
    <row r="267">
      <c r="G267" s="5"/>
      <c r="H267" s="5"/>
      <c r="I267" s="5"/>
      <c r="J267" s="5"/>
      <c r="K267" s="5"/>
      <c r="L267" s="5"/>
      <c r="M267" s="149"/>
      <c r="N267" s="5"/>
      <c r="O267" s="5"/>
      <c r="P267" s="5"/>
    </row>
    <row r="268">
      <c r="G268" s="5"/>
      <c r="H268" s="5"/>
      <c r="I268" s="5"/>
      <c r="J268" s="5"/>
      <c r="K268" s="5"/>
      <c r="L268" s="5"/>
      <c r="M268" s="149"/>
      <c r="N268" s="5"/>
      <c r="O268" s="5"/>
      <c r="P268" s="5"/>
    </row>
    <row r="269">
      <c r="G269" s="5"/>
      <c r="H269" s="5"/>
      <c r="I269" s="5"/>
      <c r="J269" s="5"/>
      <c r="K269" s="5"/>
      <c r="L269" s="5"/>
      <c r="M269" s="149"/>
      <c r="N269" s="5"/>
      <c r="O269" s="5"/>
      <c r="P269" s="5"/>
    </row>
    <row r="270">
      <c r="G270" s="5"/>
      <c r="H270" s="5"/>
      <c r="I270" s="5"/>
      <c r="J270" s="5"/>
      <c r="K270" s="5"/>
      <c r="L270" s="5"/>
      <c r="M270" s="149"/>
      <c r="N270" s="5"/>
      <c r="O270" s="5"/>
      <c r="P270" s="5"/>
    </row>
    <row r="271">
      <c r="G271" s="5"/>
      <c r="H271" s="5"/>
      <c r="I271" s="5"/>
      <c r="J271" s="5"/>
      <c r="K271" s="5"/>
      <c r="L271" s="5"/>
      <c r="M271" s="149"/>
      <c r="N271" s="5"/>
      <c r="O271" s="5"/>
      <c r="P271" s="5"/>
    </row>
    <row r="272">
      <c r="G272" s="5"/>
      <c r="H272" s="5"/>
      <c r="I272" s="5"/>
      <c r="J272" s="5"/>
      <c r="K272" s="5"/>
      <c r="L272" s="5"/>
      <c r="M272" s="149"/>
      <c r="N272" s="5"/>
      <c r="O272" s="5"/>
      <c r="P272" s="5"/>
    </row>
    <row r="273">
      <c r="G273" s="5"/>
      <c r="H273" s="5"/>
      <c r="I273" s="5"/>
      <c r="J273" s="5"/>
      <c r="K273" s="5"/>
      <c r="L273" s="5"/>
      <c r="M273" s="149"/>
      <c r="N273" s="5"/>
      <c r="O273" s="5"/>
      <c r="P273" s="5"/>
    </row>
    <row r="274">
      <c r="G274" s="5"/>
      <c r="H274" s="5"/>
      <c r="I274" s="5"/>
      <c r="J274" s="5"/>
      <c r="K274" s="5"/>
      <c r="L274" s="5"/>
      <c r="M274" s="149"/>
      <c r="N274" s="5"/>
      <c r="O274" s="5"/>
      <c r="P274" s="5"/>
    </row>
    <row r="275">
      <c r="G275" s="5"/>
      <c r="H275" s="5"/>
      <c r="I275" s="5"/>
      <c r="J275" s="5"/>
      <c r="K275" s="5"/>
      <c r="L275" s="5"/>
      <c r="M275" s="149"/>
      <c r="N275" s="5"/>
      <c r="O275" s="5"/>
      <c r="P275" s="5"/>
    </row>
    <row r="276">
      <c r="G276" s="5"/>
      <c r="H276" s="5"/>
      <c r="I276" s="5"/>
      <c r="J276" s="5"/>
      <c r="K276" s="5"/>
      <c r="L276" s="5"/>
      <c r="M276" s="149"/>
      <c r="N276" s="5"/>
      <c r="O276" s="5"/>
      <c r="P276" s="5"/>
    </row>
    <row r="277">
      <c r="G277" s="5"/>
      <c r="H277" s="5"/>
      <c r="I277" s="5"/>
      <c r="J277" s="5"/>
      <c r="K277" s="5"/>
      <c r="L277" s="5"/>
      <c r="M277" s="149"/>
      <c r="N277" s="5"/>
      <c r="O277" s="5"/>
      <c r="P277" s="5"/>
    </row>
    <row r="278">
      <c r="G278" s="5"/>
      <c r="H278" s="5"/>
      <c r="I278" s="5"/>
      <c r="J278" s="5"/>
      <c r="K278" s="5"/>
      <c r="L278" s="5"/>
      <c r="M278" s="149"/>
      <c r="N278" s="5"/>
      <c r="O278" s="5"/>
      <c r="P278" s="5"/>
    </row>
    <row r="279">
      <c r="G279" s="5"/>
      <c r="H279" s="5"/>
      <c r="I279" s="5"/>
      <c r="J279" s="5"/>
      <c r="K279" s="5"/>
      <c r="L279" s="5"/>
      <c r="M279" s="149"/>
      <c r="N279" s="5"/>
      <c r="O279" s="5"/>
      <c r="P279" s="5"/>
    </row>
    <row r="280">
      <c r="G280" s="5"/>
      <c r="H280" s="5"/>
      <c r="I280" s="5"/>
      <c r="J280" s="5"/>
      <c r="K280" s="5"/>
      <c r="L280" s="5"/>
      <c r="M280" s="149"/>
      <c r="N280" s="5"/>
      <c r="O280" s="5"/>
      <c r="P280" s="5"/>
    </row>
    <row r="281">
      <c r="G281" s="5"/>
      <c r="H281" s="5"/>
      <c r="I281" s="5"/>
      <c r="J281" s="5"/>
      <c r="K281" s="5"/>
      <c r="L281" s="5"/>
      <c r="M281" s="149"/>
      <c r="N281" s="5"/>
      <c r="O281" s="5"/>
      <c r="P281" s="5"/>
    </row>
    <row r="282">
      <c r="G282" s="5"/>
      <c r="H282" s="5"/>
      <c r="I282" s="5"/>
      <c r="J282" s="5"/>
      <c r="K282" s="5"/>
      <c r="L282" s="5"/>
      <c r="M282" s="149"/>
      <c r="N282" s="5"/>
      <c r="O282" s="5"/>
      <c r="P282" s="5"/>
    </row>
    <row r="283">
      <c r="G283" s="5"/>
      <c r="H283" s="5"/>
      <c r="I283" s="5"/>
      <c r="J283" s="5"/>
      <c r="K283" s="5"/>
      <c r="L283" s="5"/>
      <c r="M283" s="149"/>
      <c r="N283" s="5"/>
      <c r="O283" s="5"/>
      <c r="P283" s="5"/>
    </row>
    <row r="284">
      <c r="G284" s="5"/>
      <c r="H284" s="5"/>
      <c r="I284" s="5"/>
      <c r="J284" s="5"/>
      <c r="K284" s="5"/>
      <c r="L284" s="5"/>
      <c r="M284" s="149"/>
      <c r="N284" s="5"/>
      <c r="O284" s="5"/>
      <c r="P284" s="5"/>
    </row>
    <row r="285">
      <c r="G285" s="5"/>
      <c r="H285" s="5"/>
      <c r="I285" s="5"/>
      <c r="J285" s="5"/>
      <c r="K285" s="5"/>
      <c r="L285" s="5"/>
      <c r="M285" s="149"/>
      <c r="N285" s="5"/>
      <c r="O285" s="5"/>
      <c r="P285" s="5"/>
    </row>
    <row r="286">
      <c r="G286" s="5"/>
      <c r="H286" s="5"/>
      <c r="I286" s="5"/>
      <c r="J286" s="5"/>
      <c r="K286" s="5"/>
      <c r="L286" s="5"/>
      <c r="M286" s="149"/>
      <c r="N286" s="5"/>
      <c r="O286" s="5"/>
      <c r="P286" s="5"/>
    </row>
    <row r="287">
      <c r="G287" s="5"/>
      <c r="H287" s="5"/>
      <c r="I287" s="5"/>
      <c r="J287" s="5"/>
      <c r="K287" s="5"/>
      <c r="L287" s="5"/>
      <c r="M287" s="149"/>
      <c r="N287" s="5"/>
      <c r="O287" s="5"/>
      <c r="P287" s="5"/>
    </row>
    <row r="288">
      <c r="G288" s="5"/>
      <c r="H288" s="5"/>
      <c r="I288" s="5"/>
      <c r="J288" s="5"/>
      <c r="K288" s="5"/>
      <c r="L288" s="5"/>
      <c r="M288" s="149"/>
      <c r="N288" s="5"/>
      <c r="O288" s="5"/>
      <c r="P288" s="5"/>
    </row>
    <row r="289">
      <c r="G289" s="5"/>
      <c r="H289" s="5"/>
      <c r="I289" s="5"/>
      <c r="J289" s="5"/>
      <c r="K289" s="5"/>
      <c r="L289" s="5"/>
      <c r="M289" s="149"/>
      <c r="N289" s="5"/>
      <c r="O289" s="5"/>
      <c r="P289" s="5"/>
    </row>
    <row r="290">
      <c r="G290" s="5"/>
      <c r="H290" s="5"/>
      <c r="I290" s="5"/>
      <c r="J290" s="5"/>
      <c r="K290" s="5"/>
      <c r="L290" s="5"/>
      <c r="M290" s="149"/>
      <c r="N290" s="5"/>
      <c r="O290" s="5"/>
      <c r="P290" s="5"/>
    </row>
    <row r="291">
      <c r="G291" s="5"/>
      <c r="H291" s="5"/>
      <c r="I291" s="5"/>
      <c r="J291" s="5"/>
      <c r="K291" s="5"/>
      <c r="L291" s="5"/>
      <c r="M291" s="149"/>
      <c r="N291" s="5"/>
      <c r="O291" s="5"/>
      <c r="P291" s="5"/>
    </row>
    <row r="292">
      <c r="G292" s="5"/>
      <c r="H292" s="5"/>
      <c r="I292" s="5"/>
      <c r="J292" s="5"/>
      <c r="K292" s="5"/>
      <c r="L292" s="5"/>
      <c r="M292" s="149"/>
      <c r="N292" s="5"/>
      <c r="O292" s="5"/>
      <c r="P292" s="5"/>
    </row>
    <row r="293">
      <c r="G293" s="5"/>
      <c r="H293" s="5"/>
      <c r="I293" s="5"/>
      <c r="J293" s="5"/>
      <c r="K293" s="5"/>
      <c r="L293" s="5"/>
      <c r="M293" s="149"/>
      <c r="N293" s="5"/>
      <c r="O293" s="5"/>
      <c r="P293" s="5"/>
    </row>
    <row r="294">
      <c r="G294" s="5"/>
      <c r="H294" s="5"/>
      <c r="I294" s="5"/>
      <c r="J294" s="5"/>
      <c r="K294" s="5"/>
      <c r="L294" s="5"/>
      <c r="M294" s="149"/>
      <c r="N294" s="5"/>
      <c r="O294" s="5"/>
      <c r="P294" s="5"/>
    </row>
    <row r="295">
      <c r="G295" s="5"/>
      <c r="H295" s="5"/>
      <c r="I295" s="5"/>
      <c r="J295" s="5"/>
      <c r="K295" s="5"/>
      <c r="L295" s="5"/>
      <c r="M295" s="149"/>
      <c r="N295" s="5"/>
      <c r="O295" s="5"/>
      <c r="P295" s="5"/>
    </row>
    <row r="296">
      <c r="G296" s="5"/>
      <c r="H296" s="5"/>
      <c r="I296" s="5"/>
      <c r="J296" s="5"/>
      <c r="K296" s="5"/>
      <c r="L296" s="5"/>
      <c r="M296" s="149"/>
      <c r="N296" s="5"/>
      <c r="O296" s="5"/>
      <c r="P296" s="5"/>
    </row>
    <row r="297">
      <c r="G297" s="5"/>
      <c r="H297" s="5"/>
      <c r="I297" s="5"/>
      <c r="J297" s="5"/>
      <c r="K297" s="5"/>
      <c r="L297" s="5"/>
      <c r="M297" s="149"/>
      <c r="N297" s="5"/>
      <c r="O297" s="5"/>
      <c r="P297" s="5"/>
    </row>
    <row r="298">
      <c r="G298" s="5"/>
      <c r="H298" s="5"/>
      <c r="I298" s="5"/>
      <c r="J298" s="5"/>
      <c r="K298" s="5"/>
      <c r="L298" s="5"/>
      <c r="M298" s="149"/>
      <c r="N298" s="5"/>
      <c r="O298" s="5"/>
      <c r="P298" s="5"/>
    </row>
    <row r="299">
      <c r="G299" s="5"/>
      <c r="H299" s="5"/>
      <c r="I299" s="5"/>
      <c r="J299" s="5"/>
      <c r="K299" s="5"/>
      <c r="L299" s="5"/>
      <c r="M299" s="149"/>
      <c r="N299" s="5"/>
      <c r="O299" s="5"/>
      <c r="P299" s="5"/>
    </row>
    <row r="300">
      <c r="G300" s="5"/>
      <c r="H300" s="5"/>
      <c r="I300" s="5"/>
      <c r="J300" s="5"/>
      <c r="K300" s="5"/>
      <c r="L300" s="5"/>
      <c r="M300" s="149"/>
      <c r="N300" s="5"/>
      <c r="O300" s="5"/>
      <c r="P300" s="5"/>
    </row>
    <row r="301">
      <c r="G301" s="5"/>
      <c r="H301" s="5"/>
      <c r="I301" s="5"/>
      <c r="J301" s="5"/>
      <c r="K301" s="5"/>
      <c r="L301" s="5"/>
      <c r="M301" s="149"/>
      <c r="N301" s="5"/>
      <c r="O301" s="5"/>
      <c r="P301" s="5"/>
    </row>
    <row r="302">
      <c r="G302" s="5"/>
      <c r="H302" s="5"/>
      <c r="I302" s="5"/>
      <c r="J302" s="5"/>
      <c r="K302" s="5"/>
      <c r="L302" s="5"/>
      <c r="M302" s="149"/>
      <c r="N302" s="5"/>
      <c r="O302" s="5"/>
      <c r="P302" s="5"/>
    </row>
    <row r="303">
      <c r="G303" s="5"/>
      <c r="H303" s="5"/>
      <c r="I303" s="5"/>
      <c r="J303" s="5"/>
      <c r="K303" s="5"/>
      <c r="L303" s="5"/>
      <c r="M303" s="149"/>
      <c r="N303" s="5"/>
      <c r="O303" s="5"/>
      <c r="P303" s="5"/>
    </row>
    <row r="304">
      <c r="G304" s="5"/>
      <c r="H304" s="5"/>
      <c r="I304" s="5"/>
      <c r="J304" s="5"/>
      <c r="K304" s="5"/>
      <c r="L304" s="5"/>
      <c r="M304" s="149"/>
      <c r="N304" s="5"/>
      <c r="O304" s="5"/>
      <c r="P304" s="5"/>
    </row>
    <row r="305">
      <c r="G305" s="5"/>
      <c r="H305" s="5"/>
      <c r="I305" s="5"/>
      <c r="J305" s="5"/>
      <c r="K305" s="5"/>
      <c r="L305" s="5"/>
      <c r="M305" s="149"/>
      <c r="N305" s="5"/>
      <c r="O305" s="5"/>
      <c r="P305" s="5"/>
    </row>
    <row r="306">
      <c r="G306" s="5"/>
      <c r="H306" s="5"/>
      <c r="I306" s="5"/>
      <c r="J306" s="5"/>
      <c r="K306" s="5"/>
      <c r="L306" s="5"/>
      <c r="M306" s="149"/>
      <c r="N306" s="5"/>
      <c r="O306" s="5"/>
      <c r="P306" s="5"/>
    </row>
    <row r="307">
      <c r="G307" s="5"/>
      <c r="H307" s="5"/>
      <c r="I307" s="5"/>
      <c r="J307" s="5"/>
      <c r="K307" s="5"/>
      <c r="L307" s="5"/>
      <c r="M307" s="149"/>
      <c r="N307" s="5"/>
      <c r="O307" s="5"/>
      <c r="P307" s="5"/>
    </row>
    <row r="308">
      <c r="G308" s="5"/>
      <c r="H308" s="5"/>
      <c r="I308" s="5"/>
      <c r="J308" s="5"/>
      <c r="K308" s="5"/>
      <c r="L308" s="5"/>
      <c r="M308" s="149"/>
      <c r="N308" s="5"/>
      <c r="O308" s="5"/>
      <c r="P308" s="5"/>
    </row>
    <row r="309">
      <c r="G309" s="5"/>
      <c r="H309" s="5"/>
      <c r="I309" s="5"/>
      <c r="J309" s="5"/>
      <c r="K309" s="5"/>
      <c r="L309" s="5"/>
      <c r="M309" s="149"/>
      <c r="N309" s="5"/>
      <c r="O309" s="5"/>
      <c r="P309" s="5"/>
    </row>
    <row r="310">
      <c r="G310" s="5"/>
      <c r="H310" s="5"/>
      <c r="I310" s="5"/>
      <c r="J310" s="5"/>
      <c r="K310" s="5"/>
      <c r="L310" s="5"/>
      <c r="M310" s="149"/>
      <c r="N310" s="5"/>
      <c r="O310" s="5"/>
      <c r="P310" s="5"/>
    </row>
    <row r="311">
      <c r="G311" s="5"/>
      <c r="H311" s="5"/>
      <c r="I311" s="5"/>
      <c r="J311" s="5"/>
      <c r="K311" s="5"/>
      <c r="L311" s="5"/>
      <c r="M311" s="149"/>
      <c r="N311" s="5"/>
      <c r="O311" s="5"/>
      <c r="P311" s="5"/>
    </row>
    <row r="312">
      <c r="G312" s="5"/>
      <c r="H312" s="5"/>
      <c r="I312" s="5"/>
      <c r="J312" s="5"/>
      <c r="K312" s="5"/>
      <c r="L312" s="5"/>
      <c r="M312" s="149"/>
      <c r="N312" s="5"/>
      <c r="O312" s="5"/>
      <c r="P312" s="5"/>
    </row>
    <row r="313">
      <c r="G313" s="5"/>
      <c r="H313" s="5"/>
      <c r="I313" s="5"/>
      <c r="J313" s="5"/>
      <c r="K313" s="5"/>
      <c r="L313" s="5"/>
      <c r="M313" s="149"/>
      <c r="N313" s="5"/>
      <c r="O313" s="5"/>
      <c r="P313" s="5"/>
    </row>
    <row r="314">
      <c r="G314" s="5"/>
      <c r="H314" s="5"/>
      <c r="I314" s="5"/>
      <c r="J314" s="5"/>
      <c r="K314" s="5"/>
      <c r="L314" s="5"/>
      <c r="M314" s="149"/>
      <c r="N314" s="5"/>
      <c r="O314" s="5"/>
      <c r="P314" s="5"/>
    </row>
    <row r="315">
      <c r="G315" s="5"/>
      <c r="H315" s="5"/>
      <c r="I315" s="5"/>
      <c r="J315" s="5"/>
      <c r="K315" s="5"/>
      <c r="L315" s="5"/>
      <c r="M315" s="149"/>
      <c r="N315" s="5"/>
      <c r="O315" s="5"/>
      <c r="P315" s="5"/>
    </row>
    <row r="316">
      <c r="G316" s="5"/>
      <c r="H316" s="5"/>
      <c r="I316" s="5"/>
      <c r="J316" s="5"/>
      <c r="K316" s="5"/>
      <c r="L316" s="5"/>
      <c r="M316" s="149"/>
      <c r="N316" s="5"/>
      <c r="O316" s="5"/>
      <c r="P316" s="5"/>
    </row>
    <row r="317">
      <c r="G317" s="5"/>
      <c r="H317" s="5"/>
      <c r="I317" s="5"/>
      <c r="J317" s="5"/>
      <c r="K317" s="5"/>
      <c r="L317" s="5"/>
      <c r="M317" s="149"/>
      <c r="N317" s="5"/>
      <c r="O317" s="5"/>
      <c r="P317" s="5"/>
    </row>
    <row r="318">
      <c r="G318" s="5"/>
      <c r="H318" s="5"/>
      <c r="I318" s="5"/>
      <c r="J318" s="5"/>
      <c r="K318" s="5"/>
      <c r="L318" s="5"/>
      <c r="M318" s="149"/>
      <c r="N318" s="5"/>
      <c r="O318" s="5"/>
      <c r="P318" s="5"/>
    </row>
    <row r="319">
      <c r="G319" s="5"/>
      <c r="H319" s="5"/>
      <c r="I319" s="5"/>
      <c r="J319" s="5"/>
      <c r="K319" s="5"/>
      <c r="L319" s="5"/>
      <c r="M319" s="149"/>
      <c r="N319" s="5"/>
      <c r="O319" s="5"/>
      <c r="P319" s="5"/>
    </row>
    <row r="320">
      <c r="G320" s="5"/>
      <c r="H320" s="5"/>
      <c r="I320" s="5"/>
      <c r="J320" s="5"/>
      <c r="K320" s="5"/>
      <c r="L320" s="5"/>
      <c r="M320" s="149"/>
      <c r="N320" s="5"/>
      <c r="O320" s="5"/>
      <c r="P320" s="5"/>
    </row>
    <row r="321">
      <c r="G321" s="5"/>
      <c r="H321" s="5"/>
      <c r="I321" s="5"/>
      <c r="J321" s="5"/>
      <c r="K321" s="5"/>
      <c r="L321" s="5"/>
      <c r="M321" s="149"/>
      <c r="N321" s="5"/>
      <c r="O321" s="5"/>
      <c r="P321" s="5"/>
    </row>
    <row r="322">
      <c r="G322" s="5"/>
      <c r="H322" s="5"/>
      <c r="I322" s="5"/>
      <c r="J322" s="5"/>
      <c r="K322" s="5"/>
      <c r="L322" s="5"/>
      <c r="M322" s="149"/>
      <c r="N322" s="5"/>
      <c r="O322" s="5"/>
      <c r="P322" s="5"/>
    </row>
    <row r="323">
      <c r="G323" s="5"/>
      <c r="H323" s="5"/>
      <c r="I323" s="5"/>
      <c r="J323" s="5"/>
      <c r="K323" s="5"/>
      <c r="L323" s="5"/>
      <c r="M323" s="149"/>
      <c r="N323" s="5"/>
      <c r="O323" s="5"/>
      <c r="P323" s="5"/>
    </row>
    <row r="324">
      <c r="G324" s="5"/>
      <c r="H324" s="5"/>
      <c r="I324" s="5"/>
      <c r="J324" s="5"/>
      <c r="K324" s="5"/>
      <c r="L324" s="5"/>
      <c r="M324" s="149"/>
      <c r="N324" s="5"/>
      <c r="O324" s="5"/>
      <c r="P324" s="5"/>
    </row>
    <row r="325">
      <c r="G325" s="5"/>
      <c r="H325" s="5"/>
      <c r="I325" s="5"/>
      <c r="J325" s="5"/>
      <c r="K325" s="5"/>
      <c r="L325" s="5"/>
      <c r="M325" s="149"/>
      <c r="N325" s="5"/>
      <c r="O325" s="5"/>
      <c r="P325" s="5"/>
    </row>
    <row r="326">
      <c r="G326" s="5"/>
      <c r="H326" s="5"/>
      <c r="I326" s="5"/>
      <c r="J326" s="5"/>
      <c r="K326" s="5"/>
      <c r="L326" s="5"/>
      <c r="M326" s="149"/>
      <c r="N326" s="5"/>
      <c r="O326" s="5"/>
      <c r="P326" s="5"/>
    </row>
    <row r="327">
      <c r="G327" s="5"/>
      <c r="H327" s="5"/>
      <c r="I327" s="5"/>
      <c r="J327" s="5"/>
      <c r="K327" s="5"/>
      <c r="L327" s="5"/>
      <c r="M327" s="149"/>
      <c r="N327" s="5"/>
      <c r="O327" s="5"/>
      <c r="P327" s="5"/>
    </row>
    <row r="328">
      <c r="G328" s="5"/>
      <c r="H328" s="5"/>
      <c r="I328" s="5"/>
      <c r="J328" s="5"/>
      <c r="K328" s="5"/>
      <c r="L328" s="5"/>
      <c r="M328" s="149"/>
      <c r="N328" s="5"/>
      <c r="O328" s="5"/>
      <c r="P328" s="5"/>
    </row>
    <row r="329">
      <c r="G329" s="5"/>
      <c r="H329" s="5"/>
      <c r="I329" s="5"/>
      <c r="J329" s="5"/>
      <c r="K329" s="5"/>
      <c r="L329" s="5"/>
      <c r="M329" s="149"/>
      <c r="N329" s="5"/>
      <c r="O329" s="5"/>
      <c r="P329" s="5"/>
    </row>
    <row r="330">
      <c r="G330" s="5"/>
      <c r="H330" s="5"/>
      <c r="I330" s="5"/>
      <c r="J330" s="5"/>
      <c r="K330" s="5"/>
      <c r="L330" s="5"/>
      <c r="M330" s="149"/>
      <c r="N330" s="5"/>
      <c r="O330" s="5"/>
      <c r="P330" s="5"/>
    </row>
    <row r="331">
      <c r="G331" s="5"/>
      <c r="H331" s="5"/>
      <c r="I331" s="5"/>
      <c r="J331" s="5"/>
      <c r="K331" s="5"/>
      <c r="L331" s="5"/>
      <c r="M331" s="149"/>
      <c r="N331" s="5"/>
      <c r="O331" s="5"/>
      <c r="P331" s="5"/>
    </row>
    <row r="332">
      <c r="G332" s="5"/>
      <c r="H332" s="5"/>
      <c r="I332" s="5"/>
      <c r="J332" s="5"/>
      <c r="K332" s="5"/>
      <c r="L332" s="5"/>
      <c r="M332" s="149"/>
      <c r="N332" s="5"/>
      <c r="O332" s="5"/>
      <c r="P332" s="5"/>
    </row>
    <row r="333">
      <c r="G333" s="5"/>
      <c r="H333" s="5"/>
      <c r="I333" s="5"/>
      <c r="J333" s="5"/>
      <c r="K333" s="5"/>
      <c r="L333" s="5"/>
      <c r="M333" s="149"/>
      <c r="N333" s="5"/>
      <c r="O333" s="5"/>
      <c r="P333" s="5"/>
    </row>
    <row r="334">
      <c r="G334" s="5"/>
      <c r="H334" s="5"/>
      <c r="I334" s="5"/>
      <c r="J334" s="5"/>
      <c r="K334" s="5"/>
      <c r="L334" s="5"/>
      <c r="M334" s="149"/>
      <c r="N334" s="5"/>
      <c r="O334" s="5"/>
      <c r="P334" s="5"/>
    </row>
    <row r="335">
      <c r="G335" s="5"/>
      <c r="H335" s="5"/>
      <c r="I335" s="5"/>
      <c r="J335" s="5"/>
      <c r="K335" s="5"/>
      <c r="L335" s="5"/>
      <c r="M335" s="149"/>
      <c r="N335" s="5"/>
      <c r="O335" s="5"/>
      <c r="P335" s="5"/>
    </row>
    <row r="336">
      <c r="G336" s="5"/>
      <c r="H336" s="5"/>
      <c r="I336" s="5"/>
      <c r="J336" s="5"/>
      <c r="K336" s="5"/>
      <c r="L336" s="5"/>
      <c r="M336" s="149"/>
      <c r="N336" s="5"/>
      <c r="O336" s="5"/>
      <c r="P336" s="5"/>
    </row>
    <row r="337">
      <c r="G337" s="5"/>
      <c r="H337" s="5"/>
      <c r="I337" s="5"/>
      <c r="J337" s="5"/>
      <c r="K337" s="5"/>
      <c r="L337" s="5"/>
      <c r="M337" s="149"/>
      <c r="N337" s="5"/>
      <c r="O337" s="5"/>
      <c r="P337" s="5"/>
    </row>
    <row r="338">
      <c r="G338" s="5"/>
      <c r="H338" s="5"/>
      <c r="I338" s="5"/>
      <c r="J338" s="5"/>
      <c r="K338" s="5"/>
      <c r="L338" s="5"/>
      <c r="M338" s="149"/>
      <c r="N338" s="5"/>
      <c r="O338" s="5"/>
      <c r="P338" s="5"/>
    </row>
    <row r="339">
      <c r="G339" s="5"/>
      <c r="H339" s="5"/>
      <c r="I339" s="5"/>
      <c r="J339" s="5"/>
      <c r="K339" s="5"/>
      <c r="L339" s="5"/>
      <c r="M339" s="149"/>
      <c r="N339" s="5"/>
      <c r="O339" s="5"/>
      <c r="P339" s="5"/>
    </row>
    <row r="340">
      <c r="G340" s="5"/>
      <c r="H340" s="5"/>
      <c r="I340" s="5"/>
      <c r="J340" s="5"/>
      <c r="K340" s="5"/>
      <c r="L340" s="5"/>
      <c r="M340" s="149"/>
      <c r="N340" s="5"/>
      <c r="O340" s="5"/>
      <c r="P340" s="5"/>
    </row>
    <row r="341">
      <c r="G341" s="5"/>
      <c r="H341" s="5"/>
      <c r="I341" s="5"/>
      <c r="J341" s="5"/>
      <c r="K341" s="5"/>
      <c r="L341" s="5"/>
      <c r="M341" s="149"/>
      <c r="N341" s="5"/>
      <c r="O341" s="5"/>
      <c r="P341" s="5"/>
    </row>
    <row r="342">
      <c r="G342" s="5"/>
      <c r="H342" s="5"/>
      <c r="I342" s="5"/>
      <c r="J342" s="5"/>
      <c r="K342" s="5"/>
      <c r="L342" s="5"/>
      <c r="M342" s="149"/>
      <c r="N342" s="5"/>
      <c r="O342" s="5"/>
      <c r="P342" s="5"/>
    </row>
    <row r="343">
      <c r="G343" s="5"/>
      <c r="H343" s="5"/>
      <c r="I343" s="5"/>
      <c r="J343" s="5"/>
      <c r="K343" s="5"/>
      <c r="L343" s="5"/>
      <c r="M343" s="149"/>
      <c r="N343" s="5"/>
      <c r="O343" s="5"/>
      <c r="P343" s="5"/>
    </row>
    <row r="344">
      <c r="G344" s="5"/>
      <c r="H344" s="5"/>
      <c r="I344" s="5"/>
      <c r="J344" s="5"/>
      <c r="K344" s="5"/>
      <c r="L344" s="5"/>
      <c r="M344" s="149"/>
      <c r="N344" s="5"/>
      <c r="O344" s="5"/>
      <c r="P344" s="5"/>
    </row>
    <row r="345">
      <c r="G345" s="5"/>
      <c r="H345" s="5"/>
      <c r="I345" s="5"/>
      <c r="J345" s="5"/>
      <c r="K345" s="5"/>
      <c r="L345" s="5"/>
      <c r="M345" s="149"/>
      <c r="N345" s="5"/>
      <c r="O345" s="5"/>
      <c r="P345" s="5"/>
    </row>
    <row r="346">
      <c r="G346" s="5"/>
      <c r="H346" s="5"/>
      <c r="I346" s="5"/>
      <c r="J346" s="5"/>
      <c r="K346" s="5"/>
      <c r="L346" s="5"/>
      <c r="M346" s="149"/>
      <c r="N346" s="5"/>
      <c r="O346" s="5"/>
      <c r="P346" s="5"/>
    </row>
    <row r="347">
      <c r="G347" s="5"/>
      <c r="H347" s="5"/>
      <c r="I347" s="5"/>
      <c r="J347" s="5"/>
      <c r="K347" s="5"/>
      <c r="L347" s="5"/>
      <c r="M347" s="149"/>
      <c r="N347" s="5"/>
      <c r="O347" s="5"/>
      <c r="P347" s="5"/>
    </row>
    <row r="348">
      <c r="G348" s="5"/>
      <c r="H348" s="5"/>
      <c r="I348" s="5"/>
      <c r="J348" s="5"/>
      <c r="K348" s="5"/>
      <c r="L348" s="5"/>
      <c r="M348" s="149"/>
      <c r="N348" s="5"/>
      <c r="O348" s="5"/>
      <c r="P348" s="5"/>
    </row>
    <row r="349">
      <c r="G349" s="5"/>
      <c r="H349" s="5"/>
      <c r="I349" s="5"/>
      <c r="J349" s="5"/>
      <c r="K349" s="5"/>
      <c r="L349" s="5"/>
      <c r="M349" s="149"/>
      <c r="N349" s="5"/>
      <c r="O349" s="5"/>
      <c r="P349" s="5"/>
    </row>
    <row r="350">
      <c r="G350" s="5"/>
      <c r="H350" s="5"/>
      <c r="I350" s="5"/>
      <c r="J350" s="5"/>
      <c r="K350" s="5"/>
      <c r="L350" s="5"/>
      <c r="M350" s="149"/>
      <c r="N350" s="5"/>
      <c r="O350" s="5"/>
      <c r="P350" s="5"/>
    </row>
    <row r="351">
      <c r="G351" s="5"/>
      <c r="H351" s="5"/>
      <c r="I351" s="5"/>
      <c r="J351" s="5"/>
      <c r="K351" s="5"/>
      <c r="L351" s="5"/>
      <c r="M351" s="149"/>
      <c r="N351" s="5"/>
      <c r="O351" s="5"/>
      <c r="P351" s="5"/>
    </row>
    <row r="352">
      <c r="G352" s="5"/>
      <c r="H352" s="5"/>
      <c r="I352" s="5"/>
      <c r="J352" s="5"/>
      <c r="K352" s="5"/>
      <c r="L352" s="5"/>
      <c r="M352" s="149"/>
      <c r="N352" s="5"/>
      <c r="O352" s="5"/>
      <c r="P352" s="5"/>
    </row>
    <row r="353">
      <c r="G353" s="5"/>
      <c r="H353" s="5"/>
      <c r="I353" s="5"/>
      <c r="J353" s="5"/>
      <c r="K353" s="5"/>
      <c r="L353" s="5"/>
      <c r="M353" s="149"/>
      <c r="N353" s="5"/>
      <c r="O353" s="5"/>
      <c r="P353" s="5"/>
    </row>
    <row r="354">
      <c r="G354" s="5"/>
      <c r="H354" s="5"/>
      <c r="I354" s="5"/>
      <c r="J354" s="5"/>
      <c r="K354" s="5"/>
      <c r="L354" s="5"/>
      <c r="M354" s="149"/>
      <c r="N354" s="5"/>
      <c r="O354" s="5"/>
      <c r="P354" s="5"/>
    </row>
    <row r="355">
      <c r="G355" s="5"/>
      <c r="H355" s="5"/>
      <c r="I355" s="5"/>
      <c r="J355" s="5"/>
      <c r="K355" s="5"/>
      <c r="L355" s="5"/>
      <c r="M355" s="149"/>
      <c r="N355" s="5"/>
      <c r="O355" s="5"/>
      <c r="P355" s="5"/>
    </row>
    <row r="356">
      <c r="G356" s="5"/>
      <c r="H356" s="5"/>
      <c r="I356" s="5"/>
      <c r="J356" s="5"/>
      <c r="K356" s="5"/>
      <c r="L356" s="5"/>
      <c r="M356" s="149"/>
      <c r="N356" s="5"/>
      <c r="O356" s="5"/>
      <c r="P356" s="5"/>
    </row>
    <row r="357">
      <c r="G357" s="5"/>
      <c r="H357" s="5"/>
      <c r="I357" s="5"/>
      <c r="J357" s="5"/>
      <c r="K357" s="5"/>
      <c r="L357" s="5"/>
      <c r="M357" s="149"/>
      <c r="N357" s="5"/>
      <c r="O357" s="5"/>
      <c r="P357" s="5"/>
    </row>
    <row r="358">
      <c r="G358" s="5"/>
      <c r="H358" s="5"/>
      <c r="I358" s="5"/>
      <c r="J358" s="5"/>
      <c r="K358" s="5"/>
      <c r="L358" s="5"/>
      <c r="M358" s="149"/>
      <c r="N358" s="5"/>
      <c r="O358" s="5"/>
      <c r="P358" s="5"/>
    </row>
    <row r="359">
      <c r="G359" s="5"/>
      <c r="H359" s="5"/>
      <c r="I359" s="5"/>
      <c r="J359" s="5"/>
      <c r="K359" s="5"/>
      <c r="L359" s="5"/>
      <c r="M359" s="149"/>
      <c r="N359" s="5"/>
      <c r="O359" s="5"/>
      <c r="P359" s="5"/>
    </row>
    <row r="360">
      <c r="G360" s="5"/>
      <c r="H360" s="5"/>
      <c r="I360" s="5"/>
      <c r="J360" s="5"/>
      <c r="K360" s="5"/>
      <c r="L360" s="5"/>
      <c r="M360" s="149"/>
      <c r="N360" s="5"/>
      <c r="O360" s="5"/>
      <c r="P360" s="5"/>
    </row>
    <row r="361">
      <c r="G361" s="5"/>
      <c r="H361" s="5"/>
      <c r="I361" s="5"/>
      <c r="J361" s="5"/>
      <c r="K361" s="5"/>
      <c r="L361" s="5"/>
      <c r="M361" s="149"/>
      <c r="N361" s="5"/>
      <c r="O361" s="5"/>
      <c r="P361" s="5"/>
    </row>
    <row r="362">
      <c r="G362" s="5"/>
      <c r="H362" s="5"/>
      <c r="I362" s="5"/>
      <c r="J362" s="5"/>
      <c r="K362" s="5"/>
      <c r="L362" s="5"/>
      <c r="M362" s="149"/>
      <c r="N362" s="5"/>
      <c r="O362" s="5"/>
      <c r="P362" s="5"/>
    </row>
    <row r="363">
      <c r="G363" s="5"/>
      <c r="H363" s="5"/>
      <c r="I363" s="5"/>
      <c r="J363" s="5"/>
      <c r="K363" s="5"/>
      <c r="L363" s="5"/>
      <c r="M363" s="149"/>
      <c r="N363" s="5"/>
      <c r="O363" s="5"/>
      <c r="P363" s="5"/>
    </row>
    <row r="364">
      <c r="G364" s="5"/>
      <c r="H364" s="5"/>
      <c r="I364" s="5"/>
      <c r="J364" s="5"/>
      <c r="K364" s="5"/>
      <c r="L364" s="5"/>
      <c r="M364" s="149"/>
      <c r="N364" s="5"/>
      <c r="O364" s="5"/>
      <c r="P364" s="5"/>
    </row>
    <row r="365">
      <c r="G365" s="5"/>
      <c r="H365" s="5"/>
      <c r="I365" s="5"/>
      <c r="J365" s="5"/>
      <c r="K365" s="5"/>
      <c r="L365" s="5"/>
      <c r="M365" s="149"/>
      <c r="N365" s="5"/>
      <c r="O365" s="5"/>
      <c r="P365" s="5"/>
    </row>
    <row r="366">
      <c r="G366" s="5"/>
      <c r="H366" s="5"/>
      <c r="I366" s="5"/>
      <c r="J366" s="5"/>
      <c r="K366" s="5"/>
      <c r="L366" s="5"/>
      <c r="M366" s="149"/>
      <c r="N366" s="5"/>
      <c r="O366" s="5"/>
      <c r="P366" s="5"/>
    </row>
    <row r="367">
      <c r="G367" s="5"/>
      <c r="H367" s="5"/>
      <c r="I367" s="5"/>
      <c r="J367" s="5"/>
      <c r="K367" s="5"/>
      <c r="L367" s="5"/>
      <c r="M367" s="149"/>
      <c r="N367" s="5"/>
      <c r="O367" s="5"/>
      <c r="P367" s="5"/>
    </row>
    <row r="368">
      <c r="G368" s="5"/>
      <c r="H368" s="5"/>
      <c r="I368" s="5"/>
      <c r="J368" s="5"/>
      <c r="K368" s="5"/>
      <c r="L368" s="5"/>
      <c r="M368" s="149"/>
      <c r="N368" s="5"/>
      <c r="O368" s="5"/>
      <c r="P368" s="5"/>
    </row>
    <row r="369">
      <c r="G369" s="5"/>
      <c r="H369" s="5"/>
      <c r="I369" s="5"/>
      <c r="J369" s="5"/>
      <c r="K369" s="5"/>
      <c r="L369" s="5"/>
      <c r="M369" s="149"/>
      <c r="N369" s="5"/>
      <c r="O369" s="5"/>
      <c r="P369" s="5"/>
    </row>
    <row r="370">
      <c r="G370" s="5"/>
      <c r="H370" s="5"/>
      <c r="I370" s="5"/>
      <c r="J370" s="5"/>
      <c r="K370" s="5"/>
      <c r="L370" s="5"/>
      <c r="M370" s="149"/>
      <c r="N370" s="5"/>
      <c r="O370" s="5"/>
      <c r="P370" s="5"/>
    </row>
    <row r="371">
      <c r="G371" s="5"/>
      <c r="H371" s="5"/>
      <c r="I371" s="5"/>
      <c r="J371" s="5"/>
      <c r="K371" s="5"/>
      <c r="L371" s="5"/>
      <c r="M371" s="149"/>
      <c r="N371" s="5"/>
      <c r="O371" s="5"/>
      <c r="P371" s="5"/>
    </row>
    <row r="372">
      <c r="G372" s="5"/>
      <c r="H372" s="5"/>
      <c r="I372" s="5"/>
      <c r="J372" s="5"/>
      <c r="K372" s="5"/>
      <c r="L372" s="5"/>
      <c r="M372" s="149"/>
      <c r="N372" s="5"/>
      <c r="O372" s="5"/>
      <c r="P372" s="5"/>
    </row>
    <row r="373">
      <c r="G373" s="5"/>
      <c r="H373" s="5"/>
      <c r="I373" s="5"/>
      <c r="J373" s="5"/>
      <c r="K373" s="5"/>
      <c r="L373" s="5"/>
      <c r="M373" s="149"/>
      <c r="N373" s="5"/>
      <c r="O373" s="5"/>
      <c r="P373" s="5"/>
    </row>
    <row r="374">
      <c r="G374" s="5"/>
      <c r="H374" s="5"/>
      <c r="I374" s="5"/>
      <c r="J374" s="5"/>
      <c r="K374" s="5"/>
      <c r="L374" s="5"/>
      <c r="M374" s="149"/>
      <c r="N374" s="5"/>
      <c r="O374" s="5"/>
      <c r="P374" s="5"/>
    </row>
    <row r="375">
      <c r="G375" s="5"/>
      <c r="H375" s="5"/>
      <c r="I375" s="5"/>
      <c r="J375" s="5"/>
      <c r="K375" s="5"/>
      <c r="L375" s="5"/>
      <c r="M375" s="149"/>
      <c r="N375" s="5"/>
      <c r="O375" s="5"/>
      <c r="P375" s="5"/>
    </row>
    <row r="376">
      <c r="G376" s="5"/>
      <c r="H376" s="5"/>
      <c r="I376" s="5"/>
      <c r="J376" s="5"/>
      <c r="K376" s="5"/>
      <c r="L376" s="5"/>
      <c r="M376" s="149"/>
      <c r="N376" s="5"/>
      <c r="O376" s="5"/>
      <c r="P376" s="5"/>
    </row>
    <row r="377">
      <c r="G377" s="5"/>
      <c r="H377" s="5"/>
      <c r="I377" s="5"/>
      <c r="J377" s="5"/>
      <c r="K377" s="5"/>
      <c r="L377" s="5"/>
      <c r="M377" s="149"/>
      <c r="N377" s="5"/>
      <c r="O377" s="5"/>
      <c r="P377" s="5"/>
    </row>
    <row r="378">
      <c r="G378" s="5"/>
      <c r="H378" s="5"/>
      <c r="I378" s="5"/>
      <c r="J378" s="5"/>
      <c r="K378" s="5"/>
      <c r="L378" s="5"/>
      <c r="M378" s="149"/>
      <c r="N378" s="5"/>
      <c r="O378" s="5"/>
      <c r="P378" s="5"/>
    </row>
    <row r="379">
      <c r="G379" s="5"/>
      <c r="H379" s="5"/>
      <c r="I379" s="5"/>
      <c r="J379" s="5"/>
      <c r="K379" s="5"/>
      <c r="L379" s="5"/>
      <c r="M379" s="149"/>
      <c r="N379" s="5"/>
      <c r="O379" s="5"/>
      <c r="P379" s="5"/>
    </row>
    <row r="380">
      <c r="G380" s="5"/>
      <c r="H380" s="5"/>
      <c r="I380" s="5"/>
      <c r="J380" s="5"/>
      <c r="K380" s="5"/>
      <c r="L380" s="5"/>
      <c r="M380" s="149"/>
      <c r="N380" s="5"/>
      <c r="O380" s="5"/>
      <c r="P380" s="5"/>
    </row>
    <row r="381">
      <c r="G381" s="5"/>
      <c r="H381" s="5"/>
      <c r="I381" s="5"/>
      <c r="J381" s="5"/>
      <c r="K381" s="5"/>
      <c r="L381" s="5"/>
      <c r="M381" s="149"/>
      <c r="N381" s="5"/>
      <c r="O381" s="5"/>
      <c r="P381" s="5"/>
    </row>
    <row r="382">
      <c r="G382" s="5"/>
      <c r="H382" s="5"/>
      <c r="I382" s="5"/>
      <c r="J382" s="5"/>
      <c r="K382" s="5"/>
      <c r="L382" s="5"/>
      <c r="M382" s="149"/>
      <c r="N382" s="5"/>
      <c r="O382" s="5"/>
      <c r="P382" s="5"/>
    </row>
    <row r="383">
      <c r="G383" s="5"/>
      <c r="H383" s="5"/>
      <c r="I383" s="5"/>
      <c r="J383" s="5"/>
      <c r="K383" s="5"/>
      <c r="L383" s="5"/>
      <c r="M383" s="149"/>
      <c r="N383" s="5"/>
      <c r="O383" s="5"/>
      <c r="P383" s="5"/>
    </row>
    <row r="384">
      <c r="G384" s="5"/>
      <c r="H384" s="5"/>
      <c r="I384" s="5"/>
      <c r="J384" s="5"/>
      <c r="K384" s="5"/>
      <c r="L384" s="5"/>
      <c r="M384" s="149"/>
      <c r="N384" s="5"/>
      <c r="O384" s="5"/>
      <c r="P384" s="5"/>
    </row>
    <row r="385">
      <c r="G385" s="5"/>
      <c r="H385" s="5"/>
      <c r="I385" s="5"/>
      <c r="J385" s="5"/>
      <c r="K385" s="5"/>
      <c r="L385" s="5"/>
      <c r="M385" s="149"/>
      <c r="N385" s="5"/>
      <c r="O385" s="5"/>
      <c r="P385" s="5"/>
    </row>
    <row r="386">
      <c r="G386" s="5"/>
      <c r="H386" s="5"/>
      <c r="I386" s="5"/>
      <c r="J386" s="5"/>
      <c r="K386" s="5"/>
      <c r="L386" s="5"/>
      <c r="M386" s="149"/>
      <c r="N386" s="5"/>
      <c r="O386" s="5"/>
      <c r="P386" s="5"/>
    </row>
    <row r="387">
      <c r="G387" s="5"/>
      <c r="H387" s="5"/>
      <c r="I387" s="5"/>
      <c r="J387" s="5"/>
      <c r="K387" s="5"/>
      <c r="L387" s="5"/>
      <c r="M387" s="149"/>
      <c r="N387" s="5"/>
      <c r="O387" s="5"/>
      <c r="P387" s="5"/>
    </row>
    <row r="388">
      <c r="G388" s="5"/>
      <c r="H388" s="5"/>
      <c r="I388" s="5"/>
      <c r="J388" s="5"/>
      <c r="K388" s="5"/>
      <c r="L388" s="5"/>
      <c r="M388" s="149"/>
      <c r="N388" s="5"/>
      <c r="O388" s="5"/>
      <c r="P388" s="5"/>
    </row>
    <row r="389">
      <c r="G389" s="5"/>
      <c r="H389" s="5"/>
      <c r="I389" s="5"/>
      <c r="J389" s="5"/>
      <c r="K389" s="5"/>
      <c r="L389" s="5"/>
      <c r="M389" s="149"/>
      <c r="N389" s="5"/>
      <c r="O389" s="5"/>
      <c r="P389" s="5"/>
    </row>
    <row r="390">
      <c r="G390" s="5"/>
      <c r="H390" s="5"/>
      <c r="I390" s="5"/>
      <c r="J390" s="5"/>
      <c r="K390" s="5"/>
      <c r="L390" s="5"/>
      <c r="M390" s="149"/>
      <c r="N390" s="5"/>
      <c r="O390" s="5"/>
      <c r="P390" s="5"/>
    </row>
    <row r="391">
      <c r="G391" s="5"/>
      <c r="H391" s="5"/>
      <c r="I391" s="5"/>
      <c r="J391" s="5"/>
      <c r="K391" s="5"/>
      <c r="L391" s="5"/>
      <c r="M391" s="149"/>
      <c r="N391" s="5"/>
      <c r="O391" s="5"/>
      <c r="P391" s="5"/>
    </row>
    <row r="392">
      <c r="G392" s="5"/>
      <c r="H392" s="5"/>
      <c r="I392" s="5"/>
      <c r="J392" s="5"/>
      <c r="K392" s="5"/>
      <c r="L392" s="5"/>
      <c r="M392" s="149"/>
      <c r="N392" s="5"/>
      <c r="O392" s="5"/>
      <c r="P392" s="5"/>
    </row>
    <row r="393">
      <c r="G393" s="5"/>
      <c r="H393" s="5"/>
      <c r="I393" s="5"/>
      <c r="J393" s="5"/>
      <c r="K393" s="5"/>
      <c r="L393" s="5"/>
      <c r="M393" s="149"/>
      <c r="N393" s="5"/>
      <c r="O393" s="5"/>
      <c r="P393" s="5"/>
    </row>
    <row r="394">
      <c r="G394" s="5"/>
      <c r="H394" s="5"/>
      <c r="I394" s="5"/>
      <c r="J394" s="5"/>
      <c r="K394" s="5"/>
      <c r="L394" s="5"/>
      <c r="M394" s="149"/>
      <c r="N394" s="5"/>
      <c r="O394" s="5"/>
      <c r="P394" s="5"/>
    </row>
    <row r="395">
      <c r="G395" s="5"/>
      <c r="H395" s="5"/>
      <c r="I395" s="5"/>
      <c r="J395" s="5"/>
      <c r="K395" s="5"/>
      <c r="L395" s="5"/>
      <c r="M395" s="149"/>
      <c r="N395" s="5"/>
      <c r="O395" s="5"/>
      <c r="P395" s="5"/>
    </row>
    <row r="396">
      <c r="G396" s="5"/>
      <c r="H396" s="5"/>
      <c r="I396" s="5"/>
      <c r="J396" s="5"/>
      <c r="K396" s="5"/>
      <c r="L396" s="5"/>
      <c r="M396" s="149"/>
      <c r="N396" s="5"/>
      <c r="O396" s="5"/>
      <c r="P396" s="5"/>
    </row>
    <row r="397">
      <c r="G397" s="5"/>
      <c r="H397" s="5"/>
      <c r="I397" s="5"/>
      <c r="J397" s="5"/>
      <c r="K397" s="5"/>
      <c r="L397" s="5"/>
      <c r="M397" s="149"/>
      <c r="N397" s="5"/>
      <c r="O397" s="5"/>
      <c r="P397" s="5"/>
    </row>
    <row r="398">
      <c r="G398" s="5"/>
      <c r="H398" s="5"/>
      <c r="I398" s="5"/>
      <c r="J398" s="5"/>
      <c r="K398" s="5"/>
      <c r="L398" s="5"/>
      <c r="M398" s="149"/>
      <c r="N398" s="5"/>
      <c r="O398" s="5"/>
      <c r="P398" s="5"/>
    </row>
    <row r="399">
      <c r="G399" s="5"/>
      <c r="H399" s="5"/>
      <c r="I399" s="5"/>
      <c r="J399" s="5"/>
      <c r="K399" s="5"/>
      <c r="L399" s="5"/>
      <c r="M399" s="149"/>
      <c r="N399" s="5"/>
      <c r="O399" s="5"/>
      <c r="P399" s="5"/>
    </row>
    <row r="400">
      <c r="G400" s="5"/>
      <c r="H400" s="5"/>
      <c r="I400" s="5"/>
      <c r="J400" s="5"/>
      <c r="K400" s="5"/>
      <c r="L400" s="5"/>
      <c r="M400" s="149"/>
      <c r="N400" s="5"/>
      <c r="O400" s="5"/>
      <c r="P400" s="5"/>
    </row>
    <row r="401">
      <c r="G401" s="5"/>
      <c r="H401" s="5"/>
      <c r="I401" s="5"/>
      <c r="J401" s="5"/>
      <c r="K401" s="5"/>
      <c r="L401" s="5"/>
      <c r="M401" s="149"/>
      <c r="N401" s="5"/>
      <c r="O401" s="5"/>
      <c r="P401" s="5"/>
    </row>
    <row r="402">
      <c r="G402" s="5"/>
      <c r="H402" s="5"/>
      <c r="I402" s="5"/>
      <c r="J402" s="5"/>
      <c r="K402" s="5"/>
      <c r="L402" s="5"/>
      <c r="M402" s="149"/>
      <c r="N402" s="5"/>
      <c r="O402" s="5"/>
      <c r="P402" s="5"/>
    </row>
    <row r="403">
      <c r="G403" s="5"/>
      <c r="H403" s="5"/>
      <c r="I403" s="5"/>
      <c r="J403" s="5"/>
      <c r="K403" s="5"/>
      <c r="L403" s="5"/>
      <c r="M403" s="149"/>
      <c r="N403" s="5"/>
      <c r="O403" s="5"/>
      <c r="P403" s="5"/>
    </row>
    <row r="404">
      <c r="G404" s="5"/>
      <c r="H404" s="5"/>
      <c r="I404" s="5"/>
      <c r="J404" s="5"/>
      <c r="K404" s="5"/>
      <c r="L404" s="5"/>
      <c r="M404" s="149"/>
      <c r="N404" s="5"/>
      <c r="O404" s="5"/>
      <c r="P404" s="5"/>
    </row>
    <row r="405">
      <c r="G405" s="5"/>
      <c r="H405" s="5"/>
      <c r="I405" s="5"/>
      <c r="J405" s="5"/>
      <c r="K405" s="5"/>
      <c r="L405" s="5"/>
      <c r="M405" s="149"/>
      <c r="N405" s="5"/>
      <c r="O405" s="5"/>
      <c r="P405" s="5"/>
    </row>
    <row r="406">
      <c r="G406" s="5"/>
      <c r="H406" s="5"/>
      <c r="I406" s="5"/>
      <c r="J406" s="5"/>
      <c r="K406" s="5"/>
      <c r="L406" s="5"/>
      <c r="M406" s="149"/>
      <c r="N406" s="5"/>
      <c r="O406" s="5"/>
      <c r="P406" s="5"/>
    </row>
    <row r="407">
      <c r="G407" s="5"/>
      <c r="H407" s="5"/>
      <c r="I407" s="5"/>
      <c r="J407" s="5"/>
      <c r="K407" s="5"/>
      <c r="L407" s="5"/>
      <c r="M407" s="149"/>
      <c r="N407" s="5"/>
      <c r="O407" s="5"/>
      <c r="P407" s="5"/>
    </row>
    <row r="408">
      <c r="G408" s="5"/>
      <c r="H408" s="5"/>
      <c r="I408" s="5"/>
      <c r="J408" s="5"/>
      <c r="K408" s="5"/>
      <c r="L408" s="5"/>
      <c r="M408" s="149"/>
      <c r="N408" s="5"/>
      <c r="O408" s="5"/>
      <c r="P408" s="5"/>
    </row>
    <row r="409">
      <c r="G409" s="5"/>
      <c r="H409" s="5"/>
      <c r="I409" s="5"/>
      <c r="J409" s="5"/>
      <c r="K409" s="5"/>
      <c r="L409" s="5"/>
      <c r="M409" s="149"/>
      <c r="N409" s="5"/>
      <c r="O409" s="5"/>
      <c r="P409" s="5"/>
    </row>
    <row r="410">
      <c r="G410" s="5"/>
      <c r="H410" s="5"/>
      <c r="I410" s="5"/>
      <c r="J410" s="5"/>
      <c r="K410" s="5"/>
      <c r="L410" s="5"/>
      <c r="M410" s="149"/>
      <c r="N410" s="5"/>
      <c r="O410" s="5"/>
      <c r="P410" s="5"/>
    </row>
    <row r="411">
      <c r="G411" s="5"/>
      <c r="H411" s="5"/>
      <c r="I411" s="5"/>
      <c r="J411" s="5"/>
      <c r="K411" s="5"/>
      <c r="L411" s="5"/>
      <c r="M411" s="149"/>
      <c r="N411" s="5"/>
      <c r="O411" s="5"/>
      <c r="P411" s="5"/>
    </row>
    <row r="412">
      <c r="G412" s="5"/>
      <c r="H412" s="5"/>
      <c r="I412" s="5"/>
      <c r="J412" s="5"/>
      <c r="K412" s="5"/>
      <c r="L412" s="5"/>
      <c r="M412" s="149"/>
      <c r="N412" s="5"/>
      <c r="O412" s="5"/>
      <c r="P412" s="5"/>
    </row>
    <row r="413">
      <c r="G413" s="5"/>
      <c r="H413" s="5"/>
      <c r="I413" s="5"/>
      <c r="J413" s="5"/>
      <c r="K413" s="5"/>
      <c r="L413" s="5"/>
      <c r="M413" s="149"/>
      <c r="N413" s="5"/>
      <c r="O413" s="5"/>
      <c r="P413" s="5"/>
    </row>
    <row r="414">
      <c r="G414" s="5"/>
      <c r="H414" s="5"/>
      <c r="I414" s="5"/>
      <c r="J414" s="5"/>
      <c r="K414" s="5"/>
      <c r="L414" s="5"/>
      <c r="M414" s="149"/>
      <c r="N414" s="5"/>
      <c r="O414" s="5"/>
      <c r="P414" s="5"/>
    </row>
    <row r="415">
      <c r="G415" s="5"/>
      <c r="H415" s="5"/>
      <c r="I415" s="5"/>
      <c r="J415" s="5"/>
      <c r="K415" s="5"/>
      <c r="L415" s="5"/>
      <c r="M415" s="149"/>
      <c r="N415" s="5"/>
      <c r="O415" s="5"/>
      <c r="P415" s="5"/>
    </row>
    <row r="416">
      <c r="G416" s="5"/>
      <c r="H416" s="5"/>
      <c r="I416" s="5"/>
      <c r="J416" s="5"/>
      <c r="K416" s="5"/>
      <c r="L416" s="5"/>
      <c r="M416" s="149"/>
      <c r="N416" s="5"/>
      <c r="O416" s="5"/>
      <c r="P416" s="5"/>
    </row>
    <row r="417">
      <c r="G417" s="5"/>
      <c r="H417" s="5"/>
      <c r="I417" s="5"/>
      <c r="J417" s="5"/>
      <c r="K417" s="5"/>
      <c r="L417" s="5"/>
      <c r="M417" s="149"/>
      <c r="N417" s="5"/>
      <c r="O417" s="5"/>
      <c r="P417" s="5"/>
    </row>
    <row r="418">
      <c r="G418" s="5"/>
      <c r="H418" s="5"/>
      <c r="I418" s="5"/>
      <c r="J418" s="5"/>
      <c r="K418" s="5"/>
      <c r="L418" s="5"/>
      <c r="M418" s="149"/>
      <c r="N418" s="5"/>
      <c r="O418" s="5"/>
      <c r="P418" s="5"/>
    </row>
    <row r="419">
      <c r="G419" s="5"/>
      <c r="H419" s="5"/>
      <c r="I419" s="5"/>
      <c r="J419" s="5"/>
      <c r="K419" s="5"/>
      <c r="L419" s="5"/>
      <c r="M419" s="149"/>
      <c r="N419" s="5"/>
      <c r="O419" s="5"/>
      <c r="P419" s="5"/>
    </row>
    <row r="420">
      <c r="G420" s="5"/>
      <c r="H420" s="5"/>
      <c r="I420" s="5"/>
      <c r="J420" s="5"/>
      <c r="K420" s="5"/>
      <c r="L420" s="5"/>
      <c r="M420" s="149"/>
      <c r="N420" s="5"/>
      <c r="O420" s="5"/>
      <c r="P420" s="5"/>
    </row>
    <row r="421">
      <c r="G421" s="5"/>
      <c r="H421" s="5"/>
      <c r="I421" s="5"/>
      <c r="J421" s="5"/>
      <c r="K421" s="5"/>
      <c r="L421" s="5"/>
      <c r="M421" s="149"/>
      <c r="N421" s="5"/>
      <c r="O421" s="5"/>
      <c r="P421" s="5"/>
    </row>
    <row r="422">
      <c r="G422" s="5"/>
      <c r="H422" s="5"/>
      <c r="I422" s="5"/>
      <c r="J422" s="5"/>
      <c r="K422" s="5"/>
      <c r="L422" s="5"/>
      <c r="M422" s="149"/>
      <c r="N422" s="5"/>
      <c r="O422" s="5"/>
      <c r="P422" s="5"/>
    </row>
    <row r="423">
      <c r="G423" s="5"/>
      <c r="H423" s="5"/>
      <c r="I423" s="5"/>
      <c r="J423" s="5"/>
      <c r="K423" s="5"/>
      <c r="L423" s="5"/>
      <c r="M423" s="149"/>
      <c r="N423" s="5"/>
      <c r="O423" s="5"/>
      <c r="P423" s="5"/>
    </row>
    <row r="424">
      <c r="G424" s="5"/>
      <c r="H424" s="5"/>
      <c r="I424" s="5"/>
      <c r="J424" s="5"/>
      <c r="K424" s="5"/>
      <c r="L424" s="5"/>
      <c r="M424" s="149"/>
      <c r="N424" s="5"/>
      <c r="O424" s="5"/>
      <c r="P424" s="5"/>
    </row>
    <row r="425">
      <c r="G425" s="5"/>
      <c r="H425" s="5"/>
      <c r="I425" s="5"/>
      <c r="J425" s="5"/>
      <c r="K425" s="5"/>
      <c r="L425" s="5"/>
      <c r="M425" s="149"/>
      <c r="N425" s="5"/>
      <c r="O425" s="5"/>
      <c r="P425" s="5"/>
    </row>
    <row r="426">
      <c r="G426" s="5"/>
      <c r="H426" s="5"/>
      <c r="I426" s="5"/>
      <c r="J426" s="5"/>
      <c r="K426" s="5"/>
      <c r="L426" s="5"/>
      <c r="M426" s="149"/>
      <c r="N426" s="5"/>
      <c r="O426" s="5"/>
      <c r="P426" s="5"/>
    </row>
    <row r="427">
      <c r="G427" s="5"/>
      <c r="H427" s="5"/>
      <c r="I427" s="5"/>
      <c r="J427" s="5"/>
      <c r="K427" s="5"/>
      <c r="L427" s="5"/>
      <c r="M427" s="149"/>
      <c r="N427" s="5"/>
      <c r="O427" s="5"/>
      <c r="P427" s="5"/>
    </row>
    <row r="428">
      <c r="G428" s="5"/>
      <c r="H428" s="5"/>
      <c r="I428" s="5"/>
      <c r="J428" s="5"/>
      <c r="K428" s="5"/>
      <c r="L428" s="5"/>
      <c r="M428" s="149"/>
      <c r="N428" s="5"/>
      <c r="O428" s="5"/>
      <c r="P428" s="5"/>
    </row>
    <row r="429">
      <c r="G429" s="5"/>
      <c r="H429" s="5"/>
      <c r="I429" s="5"/>
      <c r="J429" s="5"/>
      <c r="K429" s="5"/>
      <c r="L429" s="5"/>
      <c r="M429" s="149"/>
      <c r="N429" s="5"/>
      <c r="O429" s="5"/>
      <c r="P429" s="5"/>
    </row>
    <row r="430">
      <c r="G430" s="5"/>
      <c r="H430" s="5"/>
      <c r="I430" s="5"/>
      <c r="J430" s="5"/>
      <c r="K430" s="5"/>
      <c r="L430" s="5"/>
      <c r="M430" s="149"/>
      <c r="N430" s="5"/>
      <c r="O430" s="5"/>
      <c r="P430" s="5"/>
    </row>
    <row r="431">
      <c r="G431" s="5"/>
      <c r="H431" s="5"/>
      <c r="I431" s="5"/>
      <c r="J431" s="5"/>
      <c r="K431" s="5"/>
      <c r="L431" s="5"/>
      <c r="M431" s="149"/>
      <c r="N431" s="5"/>
      <c r="O431" s="5"/>
      <c r="P431" s="5"/>
    </row>
    <row r="432">
      <c r="G432" s="5"/>
      <c r="H432" s="5"/>
      <c r="I432" s="5"/>
      <c r="J432" s="5"/>
      <c r="K432" s="5"/>
      <c r="L432" s="5"/>
      <c r="M432" s="149"/>
      <c r="N432" s="5"/>
      <c r="O432" s="5"/>
      <c r="P432" s="5"/>
    </row>
    <row r="433">
      <c r="G433" s="5"/>
      <c r="H433" s="5"/>
      <c r="I433" s="5"/>
      <c r="J433" s="5"/>
      <c r="K433" s="5"/>
      <c r="L433" s="5"/>
      <c r="M433" s="149"/>
      <c r="N433" s="5"/>
      <c r="O433" s="5"/>
      <c r="P433" s="5"/>
    </row>
    <row r="434">
      <c r="G434" s="5"/>
      <c r="H434" s="5"/>
      <c r="I434" s="5"/>
      <c r="J434" s="5"/>
      <c r="K434" s="5"/>
      <c r="L434" s="5"/>
      <c r="M434" s="149"/>
      <c r="N434" s="5"/>
      <c r="O434" s="5"/>
      <c r="P434" s="5"/>
    </row>
    <row r="435">
      <c r="G435" s="5"/>
      <c r="H435" s="5"/>
      <c r="I435" s="5"/>
      <c r="J435" s="5"/>
      <c r="K435" s="5"/>
      <c r="L435" s="5"/>
      <c r="M435" s="149"/>
      <c r="N435" s="5"/>
      <c r="O435" s="5"/>
      <c r="P435" s="5"/>
    </row>
    <row r="436">
      <c r="G436" s="5"/>
      <c r="H436" s="5"/>
      <c r="I436" s="5"/>
      <c r="J436" s="5"/>
      <c r="K436" s="5"/>
      <c r="L436" s="5"/>
      <c r="M436" s="149"/>
      <c r="N436" s="5"/>
      <c r="O436" s="5"/>
      <c r="P436" s="5"/>
    </row>
    <row r="437">
      <c r="G437" s="5"/>
      <c r="H437" s="5"/>
      <c r="I437" s="5"/>
      <c r="J437" s="5"/>
      <c r="K437" s="5"/>
      <c r="L437" s="5"/>
      <c r="M437" s="149"/>
      <c r="N437" s="5"/>
      <c r="O437" s="5"/>
      <c r="P437" s="5"/>
    </row>
    <row r="438">
      <c r="G438" s="5"/>
      <c r="H438" s="5"/>
      <c r="I438" s="5"/>
      <c r="J438" s="5"/>
      <c r="K438" s="5"/>
      <c r="L438" s="5"/>
      <c r="M438" s="149"/>
      <c r="N438" s="5"/>
      <c r="O438" s="5"/>
      <c r="P438" s="5"/>
    </row>
    <row r="439">
      <c r="G439" s="5"/>
      <c r="H439" s="5"/>
      <c r="I439" s="5"/>
      <c r="J439" s="5"/>
      <c r="K439" s="5"/>
      <c r="L439" s="5"/>
      <c r="M439" s="149"/>
      <c r="N439" s="5"/>
      <c r="O439" s="5"/>
      <c r="P439" s="5"/>
    </row>
    <row r="440">
      <c r="G440" s="5"/>
      <c r="H440" s="5"/>
      <c r="I440" s="5"/>
      <c r="J440" s="5"/>
      <c r="K440" s="5"/>
      <c r="L440" s="5"/>
      <c r="M440" s="149"/>
      <c r="N440" s="5"/>
      <c r="O440" s="5"/>
      <c r="P440" s="5"/>
    </row>
    <row r="441">
      <c r="G441" s="5"/>
      <c r="H441" s="5"/>
      <c r="I441" s="5"/>
      <c r="J441" s="5"/>
      <c r="K441" s="5"/>
      <c r="L441" s="5"/>
      <c r="M441" s="149"/>
      <c r="N441" s="5"/>
      <c r="O441" s="5"/>
      <c r="P441" s="5"/>
    </row>
    <row r="442">
      <c r="G442" s="5"/>
      <c r="H442" s="5"/>
      <c r="I442" s="5"/>
      <c r="J442" s="5"/>
      <c r="K442" s="5"/>
      <c r="L442" s="5"/>
      <c r="M442" s="149"/>
      <c r="N442" s="5"/>
      <c r="O442" s="5"/>
      <c r="P442" s="5"/>
    </row>
    <row r="443">
      <c r="G443" s="5"/>
      <c r="H443" s="5"/>
      <c r="I443" s="5"/>
      <c r="J443" s="5"/>
      <c r="K443" s="5"/>
      <c r="L443" s="5"/>
      <c r="M443" s="149"/>
      <c r="N443" s="5"/>
      <c r="O443" s="5"/>
      <c r="P443" s="5"/>
    </row>
    <row r="444">
      <c r="G444" s="5"/>
      <c r="H444" s="5"/>
      <c r="I444" s="5"/>
      <c r="J444" s="5"/>
      <c r="K444" s="5"/>
      <c r="L444" s="5"/>
      <c r="M444" s="149"/>
      <c r="N444" s="5"/>
      <c r="O444" s="5"/>
      <c r="P444" s="5"/>
    </row>
    <row r="445">
      <c r="G445" s="5"/>
      <c r="H445" s="5"/>
      <c r="I445" s="5"/>
      <c r="J445" s="5"/>
      <c r="K445" s="5"/>
      <c r="L445" s="5"/>
      <c r="M445" s="149"/>
      <c r="N445" s="5"/>
      <c r="O445" s="5"/>
      <c r="P445" s="5"/>
    </row>
    <row r="446">
      <c r="G446" s="5"/>
      <c r="H446" s="5"/>
      <c r="I446" s="5"/>
      <c r="J446" s="5"/>
      <c r="K446" s="5"/>
      <c r="L446" s="5"/>
      <c r="M446" s="149"/>
      <c r="N446" s="5"/>
      <c r="O446" s="5"/>
      <c r="P446" s="5"/>
    </row>
    <row r="447">
      <c r="G447" s="5"/>
      <c r="H447" s="5"/>
      <c r="I447" s="5"/>
      <c r="J447" s="5"/>
      <c r="K447" s="5"/>
      <c r="L447" s="5"/>
      <c r="M447" s="149"/>
      <c r="N447" s="5"/>
      <c r="O447" s="5"/>
      <c r="P447" s="5"/>
    </row>
    <row r="448">
      <c r="G448" s="5"/>
      <c r="H448" s="5"/>
      <c r="I448" s="5"/>
      <c r="J448" s="5"/>
      <c r="K448" s="5"/>
      <c r="L448" s="5"/>
      <c r="M448" s="149"/>
      <c r="N448" s="5"/>
      <c r="O448" s="5"/>
      <c r="P448" s="5"/>
    </row>
    <row r="449">
      <c r="G449" s="5"/>
      <c r="H449" s="5"/>
      <c r="I449" s="5"/>
      <c r="J449" s="5"/>
      <c r="K449" s="5"/>
      <c r="L449" s="5"/>
      <c r="M449" s="149"/>
      <c r="N449" s="5"/>
      <c r="O449" s="5"/>
      <c r="P449" s="5"/>
    </row>
    <row r="450">
      <c r="G450" s="5"/>
      <c r="H450" s="5"/>
      <c r="I450" s="5"/>
      <c r="J450" s="5"/>
      <c r="K450" s="5"/>
      <c r="L450" s="5"/>
      <c r="M450" s="149"/>
      <c r="N450" s="5"/>
      <c r="O450" s="5"/>
      <c r="P450" s="5"/>
    </row>
    <row r="451">
      <c r="G451" s="5"/>
      <c r="H451" s="5"/>
      <c r="I451" s="5"/>
      <c r="J451" s="5"/>
      <c r="K451" s="5"/>
      <c r="L451" s="5"/>
      <c r="M451" s="149"/>
      <c r="N451" s="5"/>
      <c r="O451" s="5"/>
      <c r="P451" s="5"/>
    </row>
    <row r="452">
      <c r="G452" s="5"/>
      <c r="H452" s="5"/>
      <c r="I452" s="5"/>
      <c r="J452" s="5"/>
      <c r="K452" s="5"/>
      <c r="L452" s="5"/>
      <c r="M452" s="149"/>
      <c r="N452" s="5"/>
      <c r="O452" s="5"/>
      <c r="P452" s="5"/>
    </row>
    <row r="453">
      <c r="G453" s="5"/>
      <c r="H453" s="5"/>
      <c r="I453" s="5"/>
      <c r="J453" s="5"/>
      <c r="K453" s="5"/>
      <c r="L453" s="5"/>
      <c r="M453" s="149"/>
      <c r="N453" s="5"/>
      <c r="O453" s="5"/>
      <c r="P453" s="5"/>
    </row>
    <row r="454">
      <c r="G454" s="5"/>
      <c r="H454" s="5"/>
      <c r="I454" s="5"/>
      <c r="J454" s="5"/>
      <c r="K454" s="5"/>
      <c r="L454" s="5"/>
      <c r="M454" s="149"/>
      <c r="N454" s="5"/>
      <c r="O454" s="5"/>
      <c r="P454" s="5"/>
    </row>
    <row r="455">
      <c r="G455" s="5"/>
      <c r="H455" s="5"/>
      <c r="I455" s="5"/>
      <c r="J455" s="5"/>
      <c r="K455" s="5"/>
      <c r="L455" s="5"/>
      <c r="M455" s="149"/>
      <c r="N455" s="5"/>
      <c r="O455" s="5"/>
      <c r="P455" s="5"/>
    </row>
    <row r="456">
      <c r="G456" s="5"/>
      <c r="H456" s="5"/>
      <c r="I456" s="5"/>
      <c r="J456" s="5"/>
      <c r="K456" s="5"/>
      <c r="L456" s="5"/>
      <c r="M456" s="149"/>
      <c r="N456" s="5"/>
      <c r="O456" s="5"/>
      <c r="P456" s="5"/>
    </row>
    <row r="457">
      <c r="G457" s="5"/>
      <c r="H457" s="5"/>
      <c r="I457" s="5"/>
      <c r="J457" s="5"/>
      <c r="K457" s="5"/>
      <c r="L457" s="5"/>
      <c r="M457" s="149"/>
      <c r="N457" s="5"/>
      <c r="O457" s="5"/>
      <c r="P457" s="5"/>
    </row>
    <row r="458">
      <c r="G458" s="5"/>
      <c r="H458" s="5"/>
      <c r="I458" s="5"/>
      <c r="J458" s="5"/>
      <c r="K458" s="5"/>
      <c r="L458" s="5"/>
      <c r="M458" s="149"/>
      <c r="N458" s="5"/>
      <c r="O458" s="5"/>
      <c r="P458" s="5"/>
    </row>
    <row r="459">
      <c r="G459" s="5"/>
      <c r="H459" s="5"/>
      <c r="I459" s="5"/>
      <c r="J459" s="5"/>
      <c r="K459" s="5"/>
      <c r="L459" s="5"/>
      <c r="M459" s="149"/>
      <c r="N459" s="5"/>
      <c r="O459" s="5"/>
      <c r="P459" s="5"/>
    </row>
    <row r="460">
      <c r="G460" s="5"/>
      <c r="H460" s="5"/>
      <c r="I460" s="5"/>
      <c r="J460" s="5"/>
      <c r="K460" s="5"/>
      <c r="L460" s="5"/>
      <c r="M460" s="149"/>
      <c r="N460" s="5"/>
      <c r="O460" s="5"/>
      <c r="P460" s="5"/>
    </row>
    <row r="461">
      <c r="G461" s="5"/>
      <c r="H461" s="5"/>
      <c r="I461" s="5"/>
      <c r="J461" s="5"/>
      <c r="K461" s="5"/>
      <c r="L461" s="5"/>
      <c r="M461" s="149"/>
      <c r="N461" s="5"/>
      <c r="O461" s="5"/>
      <c r="P461" s="5"/>
    </row>
    <row r="462">
      <c r="G462" s="5"/>
      <c r="H462" s="5"/>
      <c r="I462" s="5"/>
      <c r="J462" s="5"/>
      <c r="K462" s="5"/>
      <c r="L462" s="5"/>
      <c r="M462" s="149"/>
      <c r="N462" s="5"/>
      <c r="O462" s="5"/>
      <c r="P462" s="5"/>
    </row>
    <row r="463">
      <c r="G463" s="5"/>
      <c r="H463" s="5"/>
      <c r="I463" s="5"/>
      <c r="J463" s="5"/>
      <c r="K463" s="5"/>
      <c r="L463" s="5"/>
      <c r="M463" s="149"/>
      <c r="N463" s="5"/>
      <c r="O463" s="5"/>
      <c r="P463" s="5"/>
    </row>
    <row r="464">
      <c r="G464" s="5"/>
      <c r="H464" s="5"/>
      <c r="I464" s="5"/>
      <c r="J464" s="5"/>
      <c r="K464" s="5"/>
      <c r="L464" s="5"/>
      <c r="M464" s="149"/>
      <c r="N464" s="5"/>
      <c r="O464" s="5"/>
      <c r="P464" s="5"/>
    </row>
    <row r="465">
      <c r="G465" s="5"/>
      <c r="H465" s="5"/>
      <c r="I465" s="5"/>
      <c r="J465" s="5"/>
      <c r="K465" s="5"/>
      <c r="L465" s="5"/>
      <c r="M465" s="149"/>
      <c r="N465" s="5"/>
      <c r="O465" s="5"/>
      <c r="P465" s="5"/>
    </row>
    <row r="466">
      <c r="G466" s="5"/>
      <c r="H466" s="5"/>
      <c r="I466" s="5"/>
      <c r="J466" s="5"/>
      <c r="K466" s="5"/>
      <c r="L466" s="5"/>
      <c r="M466" s="149"/>
      <c r="N466" s="5"/>
      <c r="O466" s="5"/>
      <c r="P466" s="5"/>
    </row>
    <row r="467">
      <c r="G467" s="5"/>
      <c r="H467" s="5"/>
      <c r="I467" s="5"/>
      <c r="J467" s="5"/>
      <c r="K467" s="5"/>
      <c r="L467" s="5"/>
      <c r="M467" s="149"/>
      <c r="N467" s="5"/>
      <c r="O467" s="5"/>
      <c r="P467" s="5"/>
    </row>
    <row r="468">
      <c r="G468" s="5"/>
      <c r="H468" s="5"/>
      <c r="I468" s="5"/>
      <c r="J468" s="5"/>
      <c r="K468" s="5"/>
      <c r="L468" s="5"/>
      <c r="M468" s="149"/>
      <c r="N468" s="5"/>
      <c r="O468" s="5"/>
      <c r="P468" s="5"/>
    </row>
    <row r="469">
      <c r="G469" s="5"/>
      <c r="H469" s="5"/>
      <c r="I469" s="5"/>
      <c r="J469" s="5"/>
      <c r="K469" s="5"/>
      <c r="L469" s="5"/>
      <c r="M469" s="149"/>
      <c r="N469" s="5"/>
      <c r="O469" s="5"/>
      <c r="P469" s="5"/>
    </row>
    <row r="470">
      <c r="G470" s="5"/>
      <c r="H470" s="5"/>
      <c r="I470" s="5"/>
      <c r="J470" s="5"/>
      <c r="K470" s="5"/>
      <c r="L470" s="5"/>
      <c r="M470" s="149"/>
      <c r="N470" s="5"/>
      <c r="O470" s="5"/>
      <c r="P470" s="5"/>
    </row>
    <row r="471">
      <c r="G471" s="5"/>
      <c r="H471" s="5"/>
      <c r="I471" s="5"/>
      <c r="J471" s="5"/>
      <c r="K471" s="5"/>
      <c r="L471" s="5"/>
      <c r="M471" s="149"/>
      <c r="N471" s="5"/>
      <c r="O471" s="5"/>
      <c r="P471" s="5"/>
    </row>
    <row r="472">
      <c r="G472" s="5"/>
      <c r="H472" s="5"/>
      <c r="I472" s="5"/>
      <c r="J472" s="5"/>
      <c r="K472" s="5"/>
      <c r="L472" s="5"/>
      <c r="M472" s="149"/>
      <c r="N472" s="5"/>
      <c r="O472" s="5"/>
      <c r="P472" s="5"/>
    </row>
    <row r="473">
      <c r="G473" s="5"/>
      <c r="H473" s="5"/>
      <c r="I473" s="5"/>
      <c r="J473" s="5"/>
      <c r="K473" s="5"/>
      <c r="L473" s="5"/>
      <c r="M473" s="149"/>
      <c r="N473" s="5"/>
      <c r="O473" s="5"/>
      <c r="P473" s="5"/>
    </row>
    <row r="474">
      <c r="G474" s="5"/>
      <c r="H474" s="5"/>
      <c r="I474" s="5"/>
      <c r="J474" s="5"/>
      <c r="K474" s="5"/>
      <c r="L474" s="5"/>
      <c r="M474" s="149"/>
      <c r="N474" s="5"/>
      <c r="O474" s="5"/>
      <c r="P474" s="5"/>
    </row>
    <row r="475">
      <c r="G475" s="5"/>
      <c r="H475" s="5"/>
      <c r="I475" s="5"/>
      <c r="J475" s="5"/>
      <c r="K475" s="5"/>
      <c r="L475" s="5"/>
      <c r="M475" s="149"/>
      <c r="N475" s="5"/>
      <c r="O475" s="5"/>
      <c r="P475" s="5"/>
    </row>
    <row r="476">
      <c r="G476" s="5"/>
      <c r="H476" s="5"/>
      <c r="I476" s="5"/>
      <c r="J476" s="5"/>
      <c r="K476" s="5"/>
      <c r="L476" s="5"/>
      <c r="M476" s="149"/>
      <c r="N476" s="5"/>
      <c r="O476" s="5"/>
      <c r="P476" s="5"/>
    </row>
    <row r="477">
      <c r="G477" s="5"/>
      <c r="H477" s="5"/>
      <c r="I477" s="5"/>
      <c r="J477" s="5"/>
      <c r="K477" s="5"/>
      <c r="L477" s="5"/>
      <c r="M477" s="149"/>
      <c r="N477" s="5"/>
      <c r="O477" s="5"/>
      <c r="P477" s="5"/>
    </row>
    <row r="478">
      <c r="G478" s="5"/>
      <c r="H478" s="5"/>
      <c r="I478" s="5"/>
      <c r="J478" s="5"/>
      <c r="K478" s="5"/>
      <c r="L478" s="5"/>
      <c r="M478" s="149"/>
      <c r="N478" s="5"/>
      <c r="O478" s="5"/>
      <c r="P478" s="5"/>
    </row>
    <row r="479">
      <c r="G479" s="5"/>
      <c r="H479" s="5"/>
      <c r="I479" s="5"/>
      <c r="J479" s="5"/>
      <c r="K479" s="5"/>
      <c r="L479" s="5"/>
      <c r="M479" s="149"/>
      <c r="N479" s="5"/>
      <c r="O479" s="5"/>
      <c r="P479" s="5"/>
    </row>
    <row r="480">
      <c r="G480" s="5"/>
      <c r="H480" s="5"/>
      <c r="I480" s="5"/>
      <c r="J480" s="5"/>
      <c r="K480" s="5"/>
      <c r="L480" s="5"/>
      <c r="M480" s="149"/>
      <c r="N480" s="5"/>
      <c r="O480" s="5"/>
      <c r="P480" s="5"/>
    </row>
    <row r="481">
      <c r="G481" s="5"/>
      <c r="H481" s="5"/>
      <c r="I481" s="5"/>
      <c r="J481" s="5"/>
      <c r="K481" s="5"/>
      <c r="L481" s="5"/>
      <c r="M481" s="149"/>
      <c r="N481" s="5"/>
      <c r="O481" s="5"/>
      <c r="P481" s="5"/>
    </row>
    <row r="482">
      <c r="G482" s="5"/>
      <c r="H482" s="5"/>
      <c r="I482" s="5"/>
      <c r="J482" s="5"/>
      <c r="K482" s="5"/>
      <c r="L482" s="5"/>
      <c r="M482" s="149"/>
      <c r="N482" s="5"/>
      <c r="O482" s="5"/>
      <c r="P482" s="5"/>
    </row>
    <row r="483">
      <c r="G483" s="5"/>
      <c r="H483" s="5"/>
      <c r="I483" s="5"/>
      <c r="J483" s="5"/>
      <c r="K483" s="5"/>
      <c r="L483" s="5"/>
      <c r="M483" s="149"/>
      <c r="N483" s="5"/>
      <c r="O483" s="5"/>
      <c r="P483" s="5"/>
    </row>
    <row r="484">
      <c r="G484" s="5"/>
      <c r="H484" s="5"/>
      <c r="I484" s="5"/>
      <c r="J484" s="5"/>
      <c r="K484" s="5"/>
      <c r="L484" s="5"/>
      <c r="M484" s="149"/>
      <c r="N484" s="5"/>
      <c r="O484" s="5"/>
      <c r="P484" s="5"/>
    </row>
    <row r="485">
      <c r="G485" s="5"/>
      <c r="H485" s="5"/>
      <c r="I485" s="5"/>
      <c r="J485" s="5"/>
      <c r="K485" s="5"/>
      <c r="L485" s="5"/>
      <c r="M485" s="149"/>
      <c r="N485" s="5"/>
      <c r="O485" s="5"/>
      <c r="P485" s="5"/>
    </row>
    <row r="486">
      <c r="G486" s="5"/>
      <c r="H486" s="5"/>
      <c r="I486" s="5"/>
      <c r="J486" s="5"/>
      <c r="K486" s="5"/>
      <c r="L486" s="5"/>
      <c r="M486" s="149"/>
      <c r="N486" s="5"/>
      <c r="O486" s="5"/>
      <c r="P486" s="5"/>
    </row>
    <row r="487">
      <c r="G487" s="5"/>
      <c r="H487" s="5"/>
      <c r="I487" s="5"/>
      <c r="J487" s="5"/>
      <c r="K487" s="5"/>
      <c r="L487" s="5"/>
      <c r="M487" s="149"/>
      <c r="N487" s="5"/>
      <c r="O487" s="5"/>
      <c r="P487" s="5"/>
    </row>
    <row r="488">
      <c r="G488" s="5"/>
      <c r="H488" s="5"/>
      <c r="I488" s="5"/>
      <c r="J488" s="5"/>
      <c r="K488" s="5"/>
      <c r="L488" s="5"/>
      <c r="M488" s="149"/>
      <c r="N488" s="5"/>
      <c r="O488" s="5"/>
      <c r="P488" s="5"/>
    </row>
    <row r="489">
      <c r="G489" s="5"/>
      <c r="H489" s="5"/>
      <c r="I489" s="5"/>
      <c r="J489" s="5"/>
      <c r="K489" s="5"/>
      <c r="L489" s="5"/>
      <c r="M489" s="149"/>
      <c r="N489" s="5"/>
      <c r="O489" s="5"/>
      <c r="P489" s="5"/>
    </row>
    <row r="490">
      <c r="G490" s="5"/>
      <c r="H490" s="5"/>
      <c r="I490" s="5"/>
      <c r="J490" s="5"/>
      <c r="K490" s="5"/>
      <c r="L490" s="5"/>
      <c r="M490" s="149"/>
      <c r="N490" s="5"/>
      <c r="O490" s="5"/>
      <c r="P490" s="5"/>
    </row>
    <row r="491">
      <c r="G491" s="5"/>
      <c r="H491" s="5"/>
      <c r="I491" s="5"/>
      <c r="J491" s="5"/>
      <c r="K491" s="5"/>
      <c r="L491" s="5"/>
      <c r="M491" s="149"/>
      <c r="N491" s="5"/>
      <c r="O491" s="5"/>
      <c r="P491" s="5"/>
    </row>
    <row r="492">
      <c r="G492" s="5"/>
      <c r="H492" s="5"/>
      <c r="I492" s="5"/>
      <c r="J492" s="5"/>
      <c r="K492" s="5"/>
      <c r="L492" s="5"/>
      <c r="M492" s="149"/>
      <c r="N492" s="5"/>
      <c r="O492" s="5"/>
      <c r="P492" s="5"/>
    </row>
    <row r="493">
      <c r="G493" s="5"/>
      <c r="H493" s="5"/>
      <c r="I493" s="5"/>
      <c r="J493" s="5"/>
      <c r="K493" s="5"/>
      <c r="L493" s="5"/>
      <c r="M493" s="149"/>
      <c r="N493" s="5"/>
      <c r="O493" s="5"/>
      <c r="P493" s="5"/>
    </row>
    <row r="494">
      <c r="G494" s="5"/>
      <c r="H494" s="5"/>
      <c r="I494" s="5"/>
      <c r="J494" s="5"/>
      <c r="K494" s="5"/>
      <c r="L494" s="5"/>
      <c r="M494" s="149"/>
      <c r="N494" s="5"/>
      <c r="O494" s="5"/>
      <c r="P494" s="5"/>
    </row>
    <row r="495">
      <c r="G495" s="5"/>
      <c r="H495" s="5"/>
      <c r="I495" s="5"/>
      <c r="J495" s="5"/>
      <c r="K495" s="5"/>
      <c r="L495" s="5"/>
      <c r="M495" s="149"/>
      <c r="N495" s="5"/>
      <c r="O495" s="5"/>
      <c r="P495" s="5"/>
    </row>
    <row r="496">
      <c r="G496" s="5"/>
      <c r="H496" s="5"/>
      <c r="I496" s="5"/>
      <c r="J496" s="5"/>
      <c r="K496" s="5"/>
      <c r="L496" s="5"/>
      <c r="M496" s="149"/>
      <c r="N496" s="5"/>
      <c r="O496" s="5"/>
      <c r="P496" s="5"/>
    </row>
    <row r="497">
      <c r="G497" s="5"/>
      <c r="H497" s="5"/>
      <c r="I497" s="5"/>
      <c r="J497" s="5"/>
      <c r="K497" s="5"/>
      <c r="L497" s="5"/>
      <c r="M497" s="149"/>
      <c r="N497" s="5"/>
      <c r="O497" s="5"/>
      <c r="P497" s="5"/>
    </row>
    <row r="498">
      <c r="G498" s="5"/>
      <c r="H498" s="5"/>
      <c r="I498" s="5"/>
      <c r="J498" s="5"/>
      <c r="K498" s="5"/>
      <c r="L498" s="5"/>
      <c r="M498" s="149"/>
      <c r="N498" s="5"/>
      <c r="O498" s="5"/>
      <c r="P498" s="5"/>
    </row>
    <row r="499">
      <c r="G499" s="5"/>
      <c r="H499" s="5"/>
      <c r="I499" s="5"/>
      <c r="J499" s="5"/>
      <c r="K499" s="5"/>
      <c r="L499" s="5"/>
      <c r="M499" s="149"/>
      <c r="N499" s="5"/>
      <c r="O499" s="5"/>
      <c r="P499" s="5"/>
    </row>
    <row r="500">
      <c r="G500" s="5"/>
      <c r="H500" s="5"/>
      <c r="I500" s="5"/>
      <c r="J500" s="5"/>
      <c r="K500" s="5"/>
      <c r="L500" s="5"/>
      <c r="M500" s="149"/>
      <c r="N500" s="5"/>
      <c r="O500" s="5"/>
      <c r="P500" s="5"/>
    </row>
    <row r="501">
      <c r="G501" s="5"/>
      <c r="H501" s="5"/>
      <c r="I501" s="5"/>
      <c r="J501" s="5"/>
      <c r="K501" s="5"/>
      <c r="L501" s="5"/>
      <c r="M501" s="149"/>
      <c r="N501" s="5"/>
      <c r="O501" s="5"/>
      <c r="P501" s="5"/>
    </row>
    <row r="502">
      <c r="G502" s="5"/>
      <c r="H502" s="5"/>
      <c r="I502" s="5"/>
      <c r="J502" s="5"/>
      <c r="K502" s="5"/>
      <c r="L502" s="5"/>
      <c r="M502" s="149"/>
      <c r="N502" s="5"/>
      <c r="O502" s="5"/>
      <c r="P502" s="5"/>
    </row>
    <row r="503">
      <c r="G503" s="5"/>
      <c r="H503" s="5"/>
      <c r="I503" s="5"/>
      <c r="J503" s="5"/>
      <c r="K503" s="5"/>
      <c r="L503" s="5"/>
      <c r="M503" s="149"/>
      <c r="N503" s="5"/>
      <c r="O503" s="5"/>
      <c r="P503" s="5"/>
    </row>
    <row r="504">
      <c r="G504" s="5"/>
      <c r="H504" s="5"/>
      <c r="I504" s="5"/>
      <c r="J504" s="5"/>
      <c r="K504" s="5"/>
      <c r="L504" s="5"/>
      <c r="M504" s="149"/>
      <c r="N504" s="5"/>
      <c r="O504" s="5"/>
      <c r="P504" s="5"/>
    </row>
    <row r="505">
      <c r="G505" s="5"/>
      <c r="H505" s="5"/>
      <c r="I505" s="5"/>
      <c r="J505" s="5"/>
      <c r="K505" s="5"/>
      <c r="L505" s="5"/>
      <c r="M505" s="149"/>
      <c r="N505" s="5"/>
      <c r="O505" s="5"/>
      <c r="P505" s="5"/>
    </row>
    <row r="506">
      <c r="G506" s="5"/>
      <c r="H506" s="5"/>
      <c r="I506" s="5"/>
      <c r="J506" s="5"/>
      <c r="K506" s="5"/>
      <c r="L506" s="5"/>
      <c r="M506" s="149"/>
      <c r="N506" s="5"/>
      <c r="O506" s="5"/>
      <c r="P506" s="5"/>
    </row>
    <row r="507">
      <c r="G507" s="5"/>
      <c r="H507" s="5"/>
      <c r="I507" s="5"/>
      <c r="J507" s="5"/>
      <c r="K507" s="5"/>
      <c r="L507" s="5"/>
      <c r="M507" s="149"/>
      <c r="N507" s="5"/>
      <c r="O507" s="5"/>
      <c r="P507" s="5"/>
    </row>
    <row r="508">
      <c r="G508" s="5"/>
      <c r="H508" s="5"/>
      <c r="I508" s="5"/>
      <c r="J508" s="5"/>
      <c r="K508" s="5"/>
      <c r="L508" s="5"/>
      <c r="M508" s="149"/>
      <c r="N508" s="5"/>
      <c r="O508" s="5"/>
      <c r="P508" s="5"/>
    </row>
    <row r="509">
      <c r="G509" s="5"/>
      <c r="H509" s="5"/>
      <c r="I509" s="5"/>
      <c r="J509" s="5"/>
      <c r="K509" s="5"/>
      <c r="L509" s="5"/>
      <c r="M509" s="149"/>
      <c r="N509" s="5"/>
      <c r="O509" s="5"/>
      <c r="P509" s="5"/>
    </row>
    <row r="510">
      <c r="G510" s="5"/>
      <c r="H510" s="5"/>
      <c r="I510" s="5"/>
      <c r="J510" s="5"/>
      <c r="K510" s="5"/>
      <c r="L510" s="5"/>
      <c r="M510" s="149"/>
      <c r="N510" s="5"/>
      <c r="O510" s="5"/>
      <c r="P510" s="5"/>
    </row>
    <row r="511">
      <c r="G511" s="5"/>
      <c r="H511" s="5"/>
      <c r="I511" s="5"/>
      <c r="J511" s="5"/>
      <c r="K511" s="5"/>
      <c r="L511" s="5"/>
      <c r="M511" s="149"/>
      <c r="N511" s="5"/>
      <c r="O511" s="5"/>
      <c r="P511" s="5"/>
    </row>
    <row r="512">
      <c r="G512" s="5"/>
      <c r="H512" s="5"/>
      <c r="I512" s="5"/>
      <c r="J512" s="5"/>
      <c r="K512" s="5"/>
      <c r="L512" s="5"/>
      <c r="M512" s="149"/>
      <c r="N512" s="5"/>
      <c r="O512" s="5"/>
      <c r="P512" s="5"/>
    </row>
    <row r="513">
      <c r="G513" s="5"/>
      <c r="H513" s="5"/>
      <c r="I513" s="5"/>
      <c r="J513" s="5"/>
      <c r="K513" s="5"/>
      <c r="L513" s="5"/>
      <c r="M513" s="149"/>
      <c r="N513" s="5"/>
      <c r="O513" s="5"/>
      <c r="P513" s="5"/>
    </row>
    <row r="514">
      <c r="G514" s="5"/>
      <c r="H514" s="5"/>
      <c r="I514" s="5"/>
      <c r="J514" s="5"/>
      <c r="K514" s="5"/>
      <c r="L514" s="5"/>
      <c r="M514" s="149"/>
      <c r="N514" s="5"/>
      <c r="O514" s="5"/>
      <c r="P514" s="5"/>
    </row>
    <row r="515">
      <c r="G515" s="5"/>
      <c r="H515" s="5"/>
      <c r="I515" s="5"/>
      <c r="J515" s="5"/>
      <c r="K515" s="5"/>
      <c r="L515" s="5"/>
      <c r="M515" s="149"/>
      <c r="N515" s="5"/>
      <c r="O515" s="5"/>
      <c r="P515" s="5"/>
    </row>
    <row r="516">
      <c r="G516" s="5"/>
      <c r="H516" s="5"/>
      <c r="I516" s="5"/>
      <c r="J516" s="5"/>
      <c r="K516" s="5"/>
      <c r="L516" s="5"/>
      <c r="M516" s="149"/>
      <c r="N516" s="5"/>
      <c r="O516" s="5"/>
      <c r="P516" s="5"/>
    </row>
    <row r="517">
      <c r="G517" s="5"/>
      <c r="H517" s="5"/>
      <c r="I517" s="5"/>
      <c r="J517" s="5"/>
      <c r="K517" s="5"/>
      <c r="L517" s="5"/>
      <c r="M517" s="149"/>
      <c r="N517" s="5"/>
      <c r="O517" s="5"/>
      <c r="P517" s="5"/>
    </row>
    <row r="518">
      <c r="G518" s="5"/>
      <c r="H518" s="5"/>
      <c r="I518" s="5"/>
      <c r="J518" s="5"/>
      <c r="K518" s="5"/>
      <c r="L518" s="5"/>
      <c r="M518" s="149"/>
      <c r="N518" s="5"/>
      <c r="O518" s="5"/>
      <c r="P518" s="5"/>
    </row>
    <row r="519">
      <c r="G519" s="5"/>
      <c r="H519" s="5"/>
      <c r="I519" s="5"/>
      <c r="J519" s="5"/>
      <c r="K519" s="5"/>
      <c r="L519" s="5"/>
      <c r="M519" s="149"/>
      <c r="N519" s="5"/>
      <c r="O519" s="5"/>
      <c r="P519" s="5"/>
    </row>
    <row r="520">
      <c r="G520" s="5"/>
      <c r="H520" s="5"/>
      <c r="I520" s="5"/>
      <c r="J520" s="5"/>
      <c r="K520" s="5"/>
      <c r="L520" s="5"/>
      <c r="M520" s="149"/>
      <c r="N520" s="5"/>
      <c r="O520" s="5"/>
      <c r="P520" s="5"/>
    </row>
    <row r="521">
      <c r="G521" s="5"/>
      <c r="H521" s="5"/>
      <c r="I521" s="5"/>
      <c r="J521" s="5"/>
      <c r="K521" s="5"/>
      <c r="L521" s="5"/>
      <c r="M521" s="149"/>
      <c r="N521" s="5"/>
      <c r="O521" s="5"/>
      <c r="P521" s="5"/>
    </row>
    <row r="522">
      <c r="G522" s="5"/>
      <c r="H522" s="5"/>
      <c r="I522" s="5"/>
      <c r="J522" s="5"/>
      <c r="K522" s="5"/>
      <c r="L522" s="5"/>
      <c r="M522" s="149"/>
      <c r="N522" s="5"/>
      <c r="O522" s="5"/>
      <c r="P522" s="5"/>
    </row>
    <row r="523">
      <c r="G523" s="5"/>
      <c r="H523" s="5"/>
      <c r="I523" s="5"/>
      <c r="J523" s="5"/>
      <c r="K523" s="5"/>
      <c r="L523" s="5"/>
      <c r="M523" s="149"/>
      <c r="N523" s="5"/>
      <c r="O523" s="5"/>
      <c r="P523" s="5"/>
    </row>
    <row r="524">
      <c r="G524" s="5"/>
      <c r="H524" s="5"/>
      <c r="I524" s="5"/>
      <c r="J524" s="5"/>
      <c r="K524" s="5"/>
      <c r="L524" s="5"/>
      <c r="M524" s="149"/>
      <c r="N524" s="5"/>
      <c r="O524" s="5"/>
      <c r="P524" s="5"/>
    </row>
    <row r="525">
      <c r="G525" s="5"/>
      <c r="H525" s="5"/>
      <c r="I525" s="5"/>
      <c r="J525" s="5"/>
      <c r="K525" s="5"/>
      <c r="L525" s="5"/>
      <c r="M525" s="149"/>
      <c r="N525" s="5"/>
      <c r="O525" s="5"/>
      <c r="P525" s="5"/>
    </row>
    <row r="526">
      <c r="G526" s="5"/>
      <c r="H526" s="5"/>
      <c r="I526" s="5"/>
      <c r="J526" s="5"/>
      <c r="K526" s="5"/>
      <c r="L526" s="5"/>
      <c r="M526" s="149"/>
      <c r="N526" s="5"/>
      <c r="O526" s="5"/>
      <c r="P526" s="5"/>
    </row>
    <row r="527">
      <c r="G527" s="5"/>
      <c r="H527" s="5"/>
      <c r="I527" s="5"/>
      <c r="J527" s="5"/>
      <c r="K527" s="5"/>
      <c r="L527" s="5"/>
      <c r="M527" s="149"/>
      <c r="N527" s="5"/>
      <c r="O527" s="5"/>
      <c r="P527" s="5"/>
    </row>
    <row r="528">
      <c r="G528" s="5"/>
      <c r="H528" s="5"/>
      <c r="I528" s="5"/>
      <c r="J528" s="5"/>
      <c r="K528" s="5"/>
      <c r="L528" s="5"/>
      <c r="M528" s="149"/>
      <c r="N528" s="5"/>
      <c r="O528" s="5"/>
      <c r="P528" s="5"/>
    </row>
    <row r="529">
      <c r="G529" s="5"/>
      <c r="H529" s="5"/>
      <c r="I529" s="5"/>
      <c r="J529" s="5"/>
      <c r="K529" s="5"/>
      <c r="L529" s="5"/>
      <c r="M529" s="149"/>
      <c r="N529" s="5"/>
      <c r="O529" s="5"/>
      <c r="P529" s="5"/>
    </row>
    <row r="530">
      <c r="G530" s="5"/>
      <c r="H530" s="5"/>
      <c r="I530" s="5"/>
      <c r="J530" s="5"/>
      <c r="K530" s="5"/>
      <c r="L530" s="5"/>
      <c r="M530" s="149"/>
      <c r="N530" s="5"/>
      <c r="O530" s="5"/>
      <c r="P530" s="5"/>
    </row>
    <row r="531">
      <c r="G531" s="5"/>
      <c r="H531" s="5"/>
      <c r="I531" s="5"/>
      <c r="J531" s="5"/>
      <c r="K531" s="5"/>
      <c r="L531" s="5"/>
      <c r="M531" s="149"/>
      <c r="N531" s="5"/>
      <c r="O531" s="5"/>
      <c r="P531" s="5"/>
    </row>
    <row r="532">
      <c r="G532" s="5"/>
      <c r="H532" s="5"/>
      <c r="I532" s="5"/>
      <c r="J532" s="5"/>
      <c r="K532" s="5"/>
      <c r="L532" s="5"/>
      <c r="M532" s="149"/>
      <c r="N532" s="5"/>
      <c r="O532" s="5"/>
      <c r="P532" s="5"/>
    </row>
    <row r="533">
      <c r="G533" s="5"/>
      <c r="H533" s="5"/>
      <c r="I533" s="5"/>
      <c r="J533" s="5"/>
      <c r="K533" s="5"/>
      <c r="L533" s="5"/>
      <c r="M533" s="149"/>
      <c r="N533" s="5"/>
      <c r="O533" s="5"/>
      <c r="P533" s="5"/>
    </row>
    <row r="534">
      <c r="G534" s="5"/>
      <c r="H534" s="5"/>
      <c r="I534" s="5"/>
      <c r="J534" s="5"/>
      <c r="K534" s="5"/>
      <c r="L534" s="5"/>
      <c r="M534" s="149"/>
      <c r="N534" s="5"/>
      <c r="O534" s="5"/>
      <c r="P534" s="5"/>
    </row>
    <row r="535">
      <c r="G535" s="5"/>
      <c r="H535" s="5"/>
      <c r="I535" s="5"/>
      <c r="J535" s="5"/>
      <c r="K535" s="5"/>
      <c r="L535" s="5"/>
      <c r="M535" s="149"/>
      <c r="N535" s="5"/>
      <c r="O535" s="5"/>
      <c r="P535" s="5"/>
    </row>
    <row r="536">
      <c r="G536" s="5"/>
      <c r="H536" s="5"/>
      <c r="I536" s="5"/>
      <c r="J536" s="5"/>
      <c r="K536" s="5"/>
      <c r="L536" s="5"/>
      <c r="M536" s="149"/>
      <c r="N536" s="5"/>
      <c r="O536" s="5"/>
      <c r="P536" s="5"/>
    </row>
    <row r="537">
      <c r="G537" s="5"/>
      <c r="H537" s="5"/>
      <c r="I537" s="5"/>
      <c r="J537" s="5"/>
      <c r="K537" s="5"/>
      <c r="L537" s="5"/>
      <c r="M537" s="149"/>
      <c r="N537" s="5"/>
      <c r="O537" s="5"/>
      <c r="P537" s="5"/>
    </row>
    <row r="538">
      <c r="G538" s="5"/>
      <c r="H538" s="5"/>
      <c r="I538" s="5"/>
      <c r="J538" s="5"/>
      <c r="K538" s="5"/>
      <c r="L538" s="5"/>
      <c r="M538" s="149"/>
      <c r="N538" s="5"/>
      <c r="O538" s="5"/>
      <c r="P538" s="5"/>
    </row>
    <row r="539">
      <c r="G539" s="5"/>
      <c r="H539" s="5"/>
      <c r="I539" s="5"/>
      <c r="J539" s="5"/>
      <c r="K539" s="5"/>
      <c r="L539" s="5"/>
      <c r="M539" s="149"/>
      <c r="N539" s="5"/>
      <c r="O539" s="5"/>
      <c r="P539" s="5"/>
    </row>
    <row r="540">
      <c r="G540" s="5"/>
      <c r="H540" s="5"/>
      <c r="I540" s="5"/>
      <c r="J540" s="5"/>
      <c r="K540" s="5"/>
      <c r="L540" s="5"/>
      <c r="M540" s="149"/>
      <c r="N540" s="5"/>
      <c r="O540" s="5"/>
      <c r="P540" s="5"/>
    </row>
    <row r="541">
      <c r="G541" s="5"/>
      <c r="H541" s="5"/>
      <c r="I541" s="5"/>
      <c r="J541" s="5"/>
      <c r="K541" s="5"/>
      <c r="L541" s="5"/>
      <c r="M541" s="149"/>
      <c r="N541" s="5"/>
      <c r="O541" s="5"/>
      <c r="P541" s="5"/>
    </row>
    <row r="542">
      <c r="G542" s="5"/>
      <c r="H542" s="5"/>
      <c r="I542" s="5"/>
      <c r="J542" s="5"/>
      <c r="K542" s="5"/>
      <c r="L542" s="5"/>
      <c r="M542" s="149"/>
      <c r="N542" s="5"/>
      <c r="O542" s="5"/>
      <c r="P542" s="5"/>
    </row>
    <row r="543">
      <c r="G543" s="5"/>
      <c r="H543" s="5"/>
      <c r="I543" s="5"/>
      <c r="J543" s="5"/>
      <c r="K543" s="5"/>
      <c r="L543" s="5"/>
      <c r="M543" s="149"/>
      <c r="N543" s="5"/>
      <c r="O543" s="5"/>
      <c r="P543" s="5"/>
    </row>
    <row r="544">
      <c r="G544" s="5"/>
      <c r="H544" s="5"/>
      <c r="I544" s="5"/>
      <c r="J544" s="5"/>
      <c r="K544" s="5"/>
      <c r="L544" s="5"/>
      <c r="M544" s="149"/>
      <c r="N544" s="5"/>
      <c r="O544" s="5"/>
      <c r="P544" s="5"/>
    </row>
    <row r="545">
      <c r="G545" s="5"/>
      <c r="H545" s="5"/>
      <c r="I545" s="5"/>
      <c r="J545" s="5"/>
      <c r="K545" s="5"/>
      <c r="L545" s="5"/>
      <c r="M545" s="149"/>
      <c r="N545" s="5"/>
      <c r="O545" s="5"/>
      <c r="P545" s="5"/>
    </row>
    <row r="546">
      <c r="G546" s="5"/>
      <c r="H546" s="5"/>
      <c r="I546" s="5"/>
      <c r="J546" s="5"/>
      <c r="K546" s="5"/>
      <c r="L546" s="5"/>
      <c r="M546" s="149"/>
      <c r="N546" s="5"/>
      <c r="O546" s="5"/>
      <c r="P546" s="5"/>
    </row>
    <row r="547">
      <c r="G547" s="5"/>
      <c r="H547" s="5"/>
      <c r="I547" s="5"/>
      <c r="J547" s="5"/>
      <c r="K547" s="5"/>
      <c r="L547" s="5"/>
      <c r="M547" s="149"/>
      <c r="N547" s="5"/>
      <c r="O547" s="5"/>
      <c r="P547" s="5"/>
    </row>
    <row r="548">
      <c r="G548" s="5"/>
      <c r="H548" s="5"/>
      <c r="I548" s="5"/>
      <c r="J548" s="5"/>
      <c r="K548" s="5"/>
      <c r="L548" s="5"/>
      <c r="M548" s="149"/>
      <c r="N548" s="5"/>
      <c r="O548" s="5"/>
      <c r="P548" s="5"/>
    </row>
    <row r="549">
      <c r="G549" s="5"/>
      <c r="H549" s="5"/>
      <c r="I549" s="5"/>
      <c r="J549" s="5"/>
      <c r="K549" s="5"/>
      <c r="L549" s="5"/>
      <c r="M549" s="149"/>
      <c r="N549" s="5"/>
      <c r="O549" s="5"/>
      <c r="P549" s="5"/>
    </row>
    <row r="550">
      <c r="G550" s="5"/>
      <c r="H550" s="5"/>
      <c r="I550" s="5"/>
      <c r="J550" s="5"/>
      <c r="K550" s="5"/>
      <c r="L550" s="5"/>
      <c r="M550" s="149"/>
      <c r="N550" s="5"/>
      <c r="O550" s="5"/>
      <c r="P550" s="5"/>
    </row>
    <row r="551">
      <c r="G551" s="5"/>
      <c r="H551" s="5"/>
      <c r="I551" s="5"/>
      <c r="J551" s="5"/>
      <c r="K551" s="5"/>
      <c r="L551" s="5"/>
      <c r="M551" s="149"/>
      <c r="N551" s="5"/>
      <c r="O551" s="5"/>
      <c r="P551" s="5"/>
    </row>
    <row r="552">
      <c r="G552" s="5"/>
      <c r="H552" s="5"/>
      <c r="I552" s="5"/>
      <c r="J552" s="5"/>
      <c r="K552" s="5"/>
      <c r="L552" s="5"/>
      <c r="M552" s="149"/>
      <c r="N552" s="5"/>
      <c r="O552" s="5"/>
      <c r="P552" s="5"/>
    </row>
    <row r="553">
      <c r="G553" s="5"/>
      <c r="H553" s="5"/>
      <c r="I553" s="5"/>
      <c r="J553" s="5"/>
      <c r="K553" s="5"/>
      <c r="L553" s="5"/>
      <c r="M553" s="149"/>
      <c r="N553" s="5"/>
      <c r="O553" s="5"/>
      <c r="P553" s="5"/>
    </row>
    <row r="554">
      <c r="G554" s="5"/>
      <c r="H554" s="5"/>
      <c r="I554" s="5"/>
      <c r="J554" s="5"/>
      <c r="K554" s="5"/>
      <c r="L554" s="5"/>
      <c r="M554" s="149"/>
      <c r="N554" s="5"/>
      <c r="O554" s="5"/>
      <c r="P554" s="5"/>
    </row>
    <row r="555">
      <c r="G555" s="5"/>
      <c r="H555" s="5"/>
      <c r="I555" s="5"/>
      <c r="J555" s="5"/>
      <c r="K555" s="5"/>
      <c r="L555" s="5"/>
      <c r="M555" s="149"/>
      <c r="N555" s="5"/>
      <c r="O555" s="5"/>
      <c r="P555" s="5"/>
    </row>
    <row r="556">
      <c r="G556" s="5"/>
      <c r="H556" s="5"/>
      <c r="I556" s="5"/>
      <c r="J556" s="5"/>
      <c r="K556" s="5"/>
      <c r="L556" s="5"/>
      <c r="M556" s="149"/>
      <c r="N556" s="5"/>
      <c r="O556" s="5"/>
      <c r="P556" s="5"/>
    </row>
    <row r="557">
      <c r="G557" s="5"/>
      <c r="H557" s="5"/>
      <c r="I557" s="5"/>
      <c r="J557" s="5"/>
      <c r="K557" s="5"/>
      <c r="L557" s="5"/>
      <c r="M557" s="149"/>
      <c r="N557" s="5"/>
      <c r="O557" s="5"/>
      <c r="P557" s="5"/>
    </row>
    <row r="558">
      <c r="G558" s="5"/>
      <c r="H558" s="5"/>
      <c r="I558" s="5"/>
      <c r="J558" s="5"/>
      <c r="K558" s="5"/>
      <c r="L558" s="5"/>
      <c r="M558" s="149"/>
      <c r="N558" s="5"/>
      <c r="O558" s="5"/>
      <c r="P558" s="5"/>
    </row>
    <row r="559">
      <c r="G559" s="5"/>
      <c r="H559" s="5"/>
      <c r="I559" s="5"/>
      <c r="J559" s="5"/>
      <c r="K559" s="5"/>
      <c r="L559" s="5"/>
      <c r="M559" s="149"/>
      <c r="N559" s="5"/>
      <c r="O559" s="5"/>
      <c r="P559" s="5"/>
    </row>
    <row r="560">
      <c r="G560" s="5"/>
      <c r="H560" s="5"/>
      <c r="I560" s="5"/>
      <c r="J560" s="5"/>
      <c r="K560" s="5"/>
      <c r="L560" s="5"/>
      <c r="M560" s="149"/>
      <c r="N560" s="5"/>
      <c r="O560" s="5"/>
      <c r="P560" s="5"/>
    </row>
    <row r="561">
      <c r="G561" s="5"/>
      <c r="H561" s="5"/>
      <c r="I561" s="5"/>
      <c r="J561" s="5"/>
      <c r="K561" s="5"/>
      <c r="L561" s="5"/>
      <c r="M561" s="149"/>
      <c r="N561" s="5"/>
      <c r="O561" s="5"/>
      <c r="P561" s="5"/>
    </row>
    <row r="562">
      <c r="G562" s="5"/>
      <c r="H562" s="5"/>
      <c r="I562" s="5"/>
      <c r="J562" s="5"/>
      <c r="K562" s="5"/>
      <c r="L562" s="5"/>
      <c r="M562" s="149"/>
      <c r="N562" s="5"/>
      <c r="O562" s="5"/>
      <c r="P562" s="5"/>
    </row>
    <row r="563">
      <c r="G563" s="5"/>
      <c r="H563" s="5"/>
      <c r="I563" s="5"/>
      <c r="J563" s="5"/>
      <c r="K563" s="5"/>
      <c r="L563" s="5"/>
      <c r="M563" s="149"/>
      <c r="N563" s="5"/>
      <c r="O563" s="5"/>
      <c r="P563" s="5"/>
    </row>
    <row r="564">
      <c r="G564" s="5"/>
      <c r="H564" s="5"/>
      <c r="I564" s="5"/>
      <c r="J564" s="5"/>
      <c r="K564" s="5"/>
      <c r="L564" s="5"/>
      <c r="M564" s="149"/>
      <c r="N564" s="5"/>
      <c r="O564" s="5"/>
      <c r="P564" s="5"/>
    </row>
    <row r="565">
      <c r="G565" s="5"/>
      <c r="H565" s="5"/>
      <c r="I565" s="5"/>
      <c r="J565" s="5"/>
      <c r="K565" s="5"/>
      <c r="L565" s="5"/>
      <c r="M565" s="149"/>
      <c r="N565" s="5"/>
      <c r="O565" s="5"/>
      <c r="P565" s="5"/>
    </row>
    <row r="566">
      <c r="G566" s="5"/>
      <c r="H566" s="5"/>
      <c r="I566" s="5"/>
      <c r="J566" s="5"/>
      <c r="K566" s="5"/>
      <c r="L566" s="5"/>
      <c r="M566" s="149"/>
      <c r="N566" s="5"/>
      <c r="O566" s="5"/>
      <c r="P566" s="5"/>
    </row>
    <row r="567">
      <c r="G567" s="5"/>
      <c r="H567" s="5"/>
      <c r="I567" s="5"/>
      <c r="J567" s="5"/>
      <c r="K567" s="5"/>
      <c r="L567" s="5"/>
      <c r="M567" s="149"/>
      <c r="N567" s="5"/>
      <c r="O567" s="5"/>
      <c r="P567" s="5"/>
    </row>
    <row r="568">
      <c r="G568" s="5"/>
      <c r="H568" s="5"/>
      <c r="I568" s="5"/>
      <c r="J568" s="5"/>
      <c r="K568" s="5"/>
      <c r="L568" s="5"/>
      <c r="M568" s="149"/>
      <c r="N568" s="5"/>
      <c r="O568" s="5"/>
      <c r="P568" s="5"/>
    </row>
    <row r="569">
      <c r="G569" s="5"/>
      <c r="H569" s="5"/>
      <c r="I569" s="5"/>
      <c r="J569" s="5"/>
      <c r="K569" s="5"/>
      <c r="L569" s="5"/>
      <c r="M569" s="149"/>
      <c r="N569" s="5"/>
      <c r="O569" s="5"/>
      <c r="P569" s="5"/>
    </row>
    <row r="570">
      <c r="G570" s="5"/>
      <c r="H570" s="5"/>
      <c r="I570" s="5"/>
      <c r="J570" s="5"/>
      <c r="K570" s="5"/>
      <c r="L570" s="5"/>
      <c r="M570" s="149"/>
      <c r="N570" s="5"/>
      <c r="O570" s="5"/>
      <c r="P570" s="5"/>
    </row>
    <row r="571">
      <c r="G571" s="5"/>
      <c r="H571" s="5"/>
      <c r="I571" s="5"/>
      <c r="J571" s="5"/>
      <c r="K571" s="5"/>
      <c r="L571" s="5"/>
      <c r="M571" s="149"/>
      <c r="N571" s="5"/>
      <c r="O571" s="5"/>
      <c r="P571" s="5"/>
    </row>
    <row r="572">
      <c r="G572" s="5"/>
      <c r="H572" s="5"/>
      <c r="I572" s="5"/>
      <c r="J572" s="5"/>
      <c r="K572" s="5"/>
      <c r="L572" s="5"/>
      <c r="M572" s="149"/>
      <c r="N572" s="5"/>
      <c r="O572" s="5"/>
      <c r="P572" s="5"/>
    </row>
    <row r="573">
      <c r="G573" s="5"/>
      <c r="H573" s="5"/>
      <c r="I573" s="5"/>
      <c r="J573" s="5"/>
      <c r="K573" s="5"/>
      <c r="L573" s="5"/>
      <c r="M573" s="149"/>
      <c r="N573" s="5"/>
      <c r="O573" s="5"/>
      <c r="P573" s="5"/>
    </row>
    <row r="574">
      <c r="G574" s="5"/>
      <c r="H574" s="5"/>
      <c r="I574" s="5"/>
      <c r="J574" s="5"/>
      <c r="K574" s="5"/>
      <c r="L574" s="5"/>
      <c r="M574" s="149"/>
      <c r="N574" s="5"/>
      <c r="O574" s="5"/>
      <c r="P574" s="5"/>
    </row>
    <row r="575">
      <c r="G575" s="5"/>
      <c r="H575" s="5"/>
      <c r="I575" s="5"/>
      <c r="J575" s="5"/>
      <c r="K575" s="5"/>
      <c r="L575" s="5"/>
      <c r="M575" s="149"/>
      <c r="N575" s="5"/>
      <c r="O575" s="5"/>
      <c r="P575" s="5"/>
    </row>
    <row r="576">
      <c r="G576" s="5"/>
      <c r="H576" s="5"/>
      <c r="I576" s="5"/>
      <c r="J576" s="5"/>
      <c r="K576" s="5"/>
      <c r="L576" s="5"/>
      <c r="M576" s="149"/>
      <c r="N576" s="5"/>
      <c r="O576" s="5"/>
      <c r="P576" s="5"/>
    </row>
    <row r="577">
      <c r="G577" s="5"/>
      <c r="H577" s="5"/>
      <c r="I577" s="5"/>
      <c r="J577" s="5"/>
      <c r="K577" s="5"/>
      <c r="L577" s="5"/>
      <c r="M577" s="149"/>
      <c r="N577" s="5"/>
      <c r="O577" s="5"/>
      <c r="P577" s="5"/>
    </row>
    <row r="578">
      <c r="G578" s="5"/>
      <c r="H578" s="5"/>
      <c r="I578" s="5"/>
      <c r="J578" s="5"/>
      <c r="K578" s="5"/>
      <c r="L578" s="5"/>
      <c r="M578" s="149"/>
      <c r="N578" s="5"/>
      <c r="O578" s="5"/>
      <c r="P578" s="5"/>
    </row>
    <row r="579">
      <c r="G579" s="5"/>
      <c r="H579" s="5"/>
      <c r="I579" s="5"/>
      <c r="J579" s="5"/>
      <c r="K579" s="5"/>
      <c r="L579" s="5"/>
      <c r="M579" s="149"/>
      <c r="N579" s="5"/>
      <c r="O579" s="5"/>
      <c r="P579" s="5"/>
    </row>
    <row r="580">
      <c r="G580" s="5"/>
      <c r="H580" s="5"/>
      <c r="I580" s="5"/>
      <c r="J580" s="5"/>
      <c r="K580" s="5"/>
      <c r="L580" s="5"/>
      <c r="M580" s="149"/>
      <c r="N580" s="5"/>
      <c r="O580" s="5"/>
      <c r="P580" s="5"/>
    </row>
    <row r="581">
      <c r="G581" s="5"/>
      <c r="H581" s="5"/>
      <c r="I581" s="5"/>
      <c r="J581" s="5"/>
      <c r="K581" s="5"/>
      <c r="L581" s="5"/>
      <c r="M581" s="149"/>
      <c r="N581" s="5"/>
      <c r="O581" s="5"/>
      <c r="P581" s="5"/>
    </row>
    <row r="582">
      <c r="G582" s="5"/>
      <c r="H582" s="5"/>
      <c r="I582" s="5"/>
      <c r="J582" s="5"/>
      <c r="K582" s="5"/>
      <c r="L582" s="5"/>
      <c r="M582" s="149"/>
      <c r="N582" s="5"/>
      <c r="O582" s="5"/>
      <c r="P582" s="5"/>
    </row>
    <row r="583">
      <c r="G583" s="5"/>
      <c r="H583" s="5"/>
      <c r="I583" s="5"/>
      <c r="J583" s="5"/>
      <c r="K583" s="5"/>
      <c r="L583" s="5"/>
      <c r="M583" s="149"/>
      <c r="N583" s="5"/>
      <c r="O583" s="5"/>
      <c r="P583" s="5"/>
    </row>
    <row r="584">
      <c r="G584" s="5"/>
      <c r="H584" s="5"/>
      <c r="I584" s="5"/>
      <c r="J584" s="5"/>
      <c r="K584" s="5"/>
      <c r="L584" s="5"/>
      <c r="M584" s="149"/>
      <c r="N584" s="5"/>
      <c r="O584" s="5"/>
      <c r="P584" s="5"/>
    </row>
    <row r="585">
      <c r="G585" s="5"/>
      <c r="H585" s="5"/>
      <c r="I585" s="5"/>
      <c r="J585" s="5"/>
      <c r="K585" s="5"/>
      <c r="L585" s="5"/>
      <c r="M585" s="149"/>
      <c r="N585" s="5"/>
      <c r="O585" s="5"/>
      <c r="P585" s="5"/>
    </row>
    <row r="586">
      <c r="G586" s="5"/>
      <c r="H586" s="5"/>
      <c r="I586" s="5"/>
      <c r="J586" s="5"/>
      <c r="K586" s="5"/>
      <c r="L586" s="5"/>
      <c r="M586" s="149"/>
      <c r="N586" s="5"/>
      <c r="O586" s="5"/>
      <c r="P586" s="5"/>
    </row>
    <row r="587">
      <c r="G587" s="5"/>
      <c r="H587" s="5"/>
      <c r="I587" s="5"/>
      <c r="J587" s="5"/>
      <c r="K587" s="5"/>
      <c r="L587" s="5"/>
      <c r="M587" s="149"/>
      <c r="N587" s="5"/>
      <c r="O587" s="5"/>
      <c r="P587" s="5"/>
    </row>
    <row r="588">
      <c r="G588" s="5"/>
      <c r="H588" s="5"/>
      <c r="I588" s="5"/>
      <c r="J588" s="5"/>
      <c r="K588" s="5"/>
      <c r="L588" s="5"/>
      <c r="M588" s="149"/>
      <c r="N588" s="5"/>
      <c r="O588" s="5"/>
      <c r="P588" s="5"/>
    </row>
    <row r="589">
      <c r="G589" s="5"/>
      <c r="H589" s="5"/>
      <c r="I589" s="5"/>
      <c r="J589" s="5"/>
      <c r="K589" s="5"/>
      <c r="L589" s="5"/>
      <c r="M589" s="149"/>
      <c r="N589" s="5"/>
      <c r="O589" s="5"/>
      <c r="P589" s="5"/>
    </row>
    <row r="590">
      <c r="G590" s="5"/>
      <c r="H590" s="5"/>
      <c r="I590" s="5"/>
      <c r="J590" s="5"/>
      <c r="K590" s="5"/>
      <c r="L590" s="5"/>
      <c r="M590" s="149"/>
      <c r="N590" s="5"/>
      <c r="O590" s="5"/>
      <c r="P590" s="5"/>
    </row>
    <row r="591">
      <c r="G591" s="5"/>
      <c r="H591" s="5"/>
      <c r="I591" s="5"/>
      <c r="J591" s="5"/>
      <c r="K591" s="5"/>
      <c r="L591" s="5"/>
      <c r="M591" s="149"/>
      <c r="N591" s="5"/>
      <c r="O591" s="5"/>
      <c r="P591" s="5"/>
    </row>
    <row r="592">
      <c r="G592" s="5"/>
      <c r="H592" s="5"/>
      <c r="I592" s="5"/>
      <c r="J592" s="5"/>
      <c r="K592" s="5"/>
      <c r="L592" s="5"/>
      <c r="M592" s="149"/>
      <c r="N592" s="5"/>
      <c r="O592" s="5"/>
      <c r="P592" s="5"/>
    </row>
    <row r="593">
      <c r="G593" s="5"/>
      <c r="H593" s="5"/>
      <c r="I593" s="5"/>
      <c r="J593" s="5"/>
      <c r="K593" s="5"/>
      <c r="L593" s="5"/>
      <c r="M593" s="149"/>
      <c r="N593" s="5"/>
      <c r="O593" s="5"/>
      <c r="P593" s="5"/>
    </row>
    <row r="594">
      <c r="G594" s="5"/>
      <c r="H594" s="5"/>
      <c r="I594" s="5"/>
      <c r="J594" s="5"/>
      <c r="K594" s="5"/>
      <c r="L594" s="5"/>
      <c r="M594" s="149"/>
      <c r="N594" s="5"/>
      <c r="O594" s="5"/>
      <c r="P594" s="5"/>
    </row>
    <row r="595">
      <c r="G595" s="5"/>
      <c r="H595" s="5"/>
      <c r="I595" s="5"/>
      <c r="J595" s="5"/>
      <c r="K595" s="5"/>
      <c r="L595" s="5"/>
      <c r="M595" s="149"/>
      <c r="N595" s="5"/>
      <c r="O595" s="5"/>
      <c r="P595" s="5"/>
    </row>
    <row r="596">
      <c r="G596" s="5"/>
      <c r="H596" s="5"/>
      <c r="I596" s="5"/>
      <c r="J596" s="5"/>
      <c r="K596" s="5"/>
      <c r="L596" s="5"/>
      <c r="M596" s="149"/>
      <c r="N596" s="5"/>
      <c r="O596" s="5"/>
      <c r="P596" s="5"/>
    </row>
    <row r="597">
      <c r="G597" s="5"/>
      <c r="H597" s="5"/>
      <c r="I597" s="5"/>
      <c r="J597" s="5"/>
      <c r="K597" s="5"/>
      <c r="L597" s="5"/>
      <c r="M597" s="149"/>
      <c r="N597" s="5"/>
      <c r="O597" s="5"/>
      <c r="P597" s="5"/>
    </row>
    <row r="598">
      <c r="G598" s="5"/>
      <c r="H598" s="5"/>
      <c r="I598" s="5"/>
      <c r="J598" s="5"/>
      <c r="K598" s="5"/>
      <c r="L598" s="5"/>
      <c r="M598" s="149"/>
      <c r="N598" s="5"/>
      <c r="O598" s="5"/>
      <c r="P598" s="5"/>
    </row>
    <row r="599">
      <c r="G599" s="5"/>
      <c r="H599" s="5"/>
      <c r="I599" s="5"/>
      <c r="J599" s="5"/>
      <c r="K599" s="5"/>
      <c r="L599" s="5"/>
      <c r="M599" s="149"/>
      <c r="N599" s="5"/>
      <c r="O599" s="5"/>
      <c r="P599" s="5"/>
    </row>
    <row r="600">
      <c r="G600" s="5"/>
      <c r="H600" s="5"/>
      <c r="I600" s="5"/>
      <c r="J600" s="5"/>
      <c r="K600" s="5"/>
      <c r="L600" s="5"/>
      <c r="M600" s="149"/>
      <c r="N600" s="5"/>
      <c r="O600" s="5"/>
      <c r="P600" s="5"/>
    </row>
    <row r="601">
      <c r="G601" s="5"/>
      <c r="H601" s="5"/>
      <c r="I601" s="5"/>
      <c r="J601" s="5"/>
      <c r="K601" s="5"/>
      <c r="L601" s="5"/>
      <c r="M601" s="149"/>
      <c r="N601" s="5"/>
      <c r="O601" s="5"/>
      <c r="P601" s="5"/>
    </row>
    <row r="602">
      <c r="G602" s="5"/>
      <c r="H602" s="5"/>
      <c r="I602" s="5"/>
      <c r="J602" s="5"/>
      <c r="K602" s="5"/>
      <c r="L602" s="5"/>
      <c r="M602" s="149"/>
      <c r="N602" s="5"/>
      <c r="O602" s="5"/>
      <c r="P602" s="5"/>
    </row>
    <row r="603">
      <c r="G603" s="5"/>
      <c r="H603" s="5"/>
      <c r="I603" s="5"/>
      <c r="J603" s="5"/>
      <c r="K603" s="5"/>
      <c r="L603" s="5"/>
      <c r="M603" s="149"/>
      <c r="N603" s="5"/>
      <c r="O603" s="5"/>
      <c r="P603" s="5"/>
    </row>
    <row r="604">
      <c r="G604" s="5"/>
      <c r="H604" s="5"/>
      <c r="I604" s="5"/>
      <c r="J604" s="5"/>
      <c r="K604" s="5"/>
      <c r="L604" s="5"/>
      <c r="M604" s="149"/>
      <c r="N604" s="5"/>
      <c r="O604" s="5"/>
      <c r="P604" s="5"/>
    </row>
    <row r="605">
      <c r="G605" s="5"/>
      <c r="H605" s="5"/>
      <c r="I605" s="5"/>
      <c r="J605" s="5"/>
      <c r="K605" s="5"/>
      <c r="L605" s="5"/>
      <c r="M605" s="149"/>
      <c r="N605" s="5"/>
      <c r="O605" s="5"/>
      <c r="P605" s="5"/>
    </row>
    <row r="606">
      <c r="G606" s="5"/>
      <c r="H606" s="5"/>
      <c r="I606" s="5"/>
      <c r="J606" s="5"/>
      <c r="K606" s="5"/>
      <c r="L606" s="5"/>
      <c r="M606" s="149"/>
      <c r="N606" s="5"/>
      <c r="O606" s="5"/>
      <c r="P606" s="5"/>
    </row>
    <row r="607">
      <c r="G607" s="5"/>
      <c r="H607" s="5"/>
      <c r="I607" s="5"/>
      <c r="J607" s="5"/>
      <c r="K607" s="5"/>
      <c r="L607" s="5"/>
      <c r="M607" s="149"/>
      <c r="N607" s="5"/>
      <c r="O607" s="5"/>
      <c r="P607" s="5"/>
    </row>
    <row r="608">
      <c r="G608" s="5"/>
      <c r="H608" s="5"/>
      <c r="I608" s="5"/>
      <c r="J608" s="5"/>
      <c r="K608" s="5"/>
      <c r="L608" s="5"/>
      <c r="M608" s="149"/>
      <c r="N608" s="5"/>
      <c r="O608" s="5"/>
      <c r="P608" s="5"/>
    </row>
    <row r="609">
      <c r="G609" s="5"/>
      <c r="H609" s="5"/>
      <c r="I609" s="5"/>
      <c r="J609" s="5"/>
      <c r="K609" s="5"/>
      <c r="L609" s="5"/>
      <c r="M609" s="149"/>
      <c r="N609" s="5"/>
      <c r="O609" s="5"/>
      <c r="P609" s="5"/>
    </row>
    <row r="610">
      <c r="G610" s="5"/>
      <c r="H610" s="5"/>
      <c r="I610" s="5"/>
      <c r="J610" s="5"/>
      <c r="K610" s="5"/>
      <c r="L610" s="5"/>
      <c r="M610" s="149"/>
      <c r="N610" s="5"/>
      <c r="O610" s="5"/>
      <c r="P610" s="5"/>
    </row>
    <row r="611">
      <c r="G611" s="5"/>
      <c r="H611" s="5"/>
      <c r="I611" s="5"/>
      <c r="J611" s="5"/>
      <c r="K611" s="5"/>
      <c r="L611" s="5"/>
      <c r="M611" s="149"/>
      <c r="N611" s="5"/>
      <c r="O611" s="5"/>
      <c r="P611" s="5"/>
    </row>
    <row r="612">
      <c r="G612" s="5"/>
      <c r="H612" s="5"/>
      <c r="I612" s="5"/>
      <c r="J612" s="5"/>
      <c r="K612" s="5"/>
      <c r="L612" s="5"/>
      <c r="M612" s="149"/>
      <c r="N612" s="5"/>
      <c r="O612" s="5"/>
      <c r="P612" s="5"/>
    </row>
    <row r="613">
      <c r="G613" s="5"/>
      <c r="H613" s="5"/>
      <c r="I613" s="5"/>
      <c r="J613" s="5"/>
      <c r="K613" s="5"/>
      <c r="L613" s="5"/>
      <c r="M613" s="149"/>
      <c r="N613" s="5"/>
      <c r="O613" s="5"/>
      <c r="P613" s="5"/>
    </row>
    <row r="614">
      <c r="G614" s="5"/>
      <c r="H614" s="5"/>
      <c r="I614" s="5"/>
      <c r="J614" s="5"/>
      <c r="K614" s="5"/>
      <c r="L614" s="5"/>
      <c r="M614" s="149"/>
      <c r="N614" s="5"/>
      <c r="O614" s="5"/>
      <c r="P614" s="5"/>
    </row>
    <row r="615">
      <c r="G615" s="5"/>
      <c r="H615" s="5"/>
      <c r="I615" s="5"/>
      <c r="J615" s="5"/>
      <c r="K615" s="5"/>
      <c r="L615" s="5"/>
      <c r="M615" s="149"/>
      <c r="N615" s="5"/>
      <c r="O615" s="5"/>
      <c r="P615" s="5"/>
    </row>
    <row r="616">
      <c r="G616" s="5"/>
      <c r="H616" s="5"/>
      <c r="I616" s="5"/>
      <c r="J616" s="5"/>
      <c r="K616" s="5"/>
      <c r="L616" s="5"/>
      <c r="M616" s="149"/>
      <c r="N616" s="5"/>
      <c r="O616" s="5"/>
      <c r="P616" s="5"/>
    </row>
    <row r="617">
      <c r="G617" s="5"/>
      <c r="H617" s="5"/>
      <c r="I617" s="5"/>
      <c r="J617" s="5"/>
      <c r="K617" s="5"/>
      <c r="L617" s="5"/>
      <c r="M617" s="149"/>
      <c r="N617" s="5"/>
      <c r="O617" s="5"/>
      <c r="P617" s="5"/>
    </row>
    <row r="618">
      <c r="G618" s="5"/>
      <c r="H618" s="5"/>
      <c r="I618" s="5"/>
      <c r="J618" s="5"/>
      <c r="K618" s="5"/>
      <c r="L618" s="5"/>
      <c r="M618" s="149"/>
      <c r="N618" s="5"/>
      <c r="O618" s="5"/>
      <c r="P618" s="5"/>
    </row>
    <row r="619">
      <c r="G619" s="5"/>
      <c r="H619" s="5"/>
      <c r="I619" s="5"/>
      <c r="J619" s="5"/>
      <c r="K619" s="5"/>
      <c r="L619" s="5"/>
      <c r="M619" s="149"/>
      <c r="N619" s="5"/>
      <c r="O619" s="5"/>
      <c r="P619" s="5"/>
    </row>
    <row r="620">
      <c r="G620" s="5"/>
      <c r="H620" s="5"/>
      <c r="I620" s="5"/>
      <c r="J620" s="5"/>
      <c r="K620" s="5"/>
      <c r="L620" s="5"/>
      <c r="M620" s="149"/>
      <c r="N620" s="5"/>
      <c r="O620" s="5"/>
      <c r="P620" s="5"/>
    </row>
    <row r="621">
      <c r="G621" s="5"/>
      <c r="H621" s="5"/>
      <c r="I621" s="5"/>
      <c r="J621" s="5"/>
      <c r="K621" s="5"/>
      <c r="L621" s="5"/>
      <c r="M621" s="149"/>
      <c r="N621" s="5"/>
      <c r="O621" s="5"/>
      <c r="P621" s="5"/>
    </row>
    <row r="622">
      <c r="G622" s="5"/>
      <c r="H622" s="5"/>
      <c r="I622" s="5"/>
      <c r="J622" s="5"/>
      <c r="K622" s="5"/>
      <c r="L622" s="5"/>
      <c r="M622" s="149"/>
      <c r="N622" s="5"/>
      <c r="O622" s="5"/>
      <c r="P622" s="5"/>
    </row>
    <row r="623">
      <c r="G623" s="5"/>
      <c r="H623" s="5"/>
      <c r="I623" s="5"/>
      <c r="J623" s="5"/>
      <c r="K623" s="5"/>
      <c r="L623" s="5"/>
      <c r="M623" s="149"/>
      <c r="N623" s="5"/>
      <c r="O623" s="5"/>
      <c r="P623" s="5"/>
    </row>
    <row r="624">
      <c r="G624" s="5"/>
      <c r="H624" s="5"/>
      <c r="I624" s="5"/>
      <c r="J624" s="5"/>
      <c r="K624" s="5"/>
      <c r="L624" s="5"/>
      <c r="M624" s="149"/>
      <c r="N624" s="5"/>
      <c r="O624" s="5"/>
      <c r="P624" s="5"/>
    </row>
    <row r="625">
      <c r="G625" s="5"/>
      <c r="H625" s="5"/>
      <c r="I625" s="5"/>
      <c r="J625" s="5"/>
      <c r="K625" s="5"/>
      <c r="L625" s="5"/>
      <c r="M625" s="149"/>
      <c r="N625" s="5"/>
      <c r="O625" s="5"/>
      <c r="P625" s="5"/>
    </row>
    <row r="626">
      <c r="G626" s="5"/>
      <c r="H626" s="5"/>
      <c r="I626" s="5"/>
      <c r="J626" s="5"/>
      <c r="K626" s="5"/>
      <c r="L626" s="5"/>
      <c r="M626" s="149"/>
      <c r="N626" s="5"/>
      <c r="O626" s="5"/>
      <c r="P626" s="5"/>
    </row>
    <row r="627">
      <c r="G627" s="5"/>
      <c r="H627" s="5"/>
      <c r="I627" s="5"/>
      <c r="J627" s="5"/>
      <c r="K627" s="5"/>
      <c r="L627" s="5"/>
      <c r="M627" s="149"/>
      <c r="N627" s="5"/>
      <c r="O627" s="5"/>
      <c r="P627" s="5"/>
    </row>
    <row r="628">
      <c r="G628" s="5"/>
      <c r="H628" s="5"/>
      <c r="I628" s="5"/>
      <c r="J628" s="5"/>
      <c r="K628" s="5"/>
      <c r="L628" s="5"/>
      <c r="M628" s="149"/>
      <c r="N628" s="5"/>
      <c r="O628" s="5"/>
      <c r="P628" s="5"/>
    </row>
    <row r="629">
      <c r="G629" s="5"/>
      <c r="H629" s="5"/>
      <c r="I629" s="5"/>
      <c r="J629" s="5"/>
      <c r="K629" s="5"/>
      <c r="L629" s="5"/>
      <c r="M629" s="149"/>
      <c r="N629" s="5"/>
      <c r="O629" s="5"/>
      <c r="P629" s="5"/>
    </row>
    <row r="630">
      <c r="G630" s="5"/>
      <c r="H630" s="5"/>
      <c r="I630" s="5"/>
      <c r="J630" s="5"/>
      <c r="K630" s="5"/>
      <c r="L630" s="5"/>
      <c r="M630" s="149"/>
      <c r="N630" s="5"/>
      <c r="O630" s="5"/>
      <c r="P630" s="5"/>
    </row>
    <row r="631">
      <c r="G631" s="5"/>
      <c r="H631" s="5"/>
      <c r="I631" s="5"/>
      <c r="J631" s="5"/>
      <c r="K631" s="5"/>
      <c r="L631" s="5"/>
      <c r="M631" s="149"/>
      <c r="N631" s="5"/>
      <c r="O631" s="5"/>
      <c r="P631" s="5"/>
    </row>
    <row r="632">
      <c r="G632" s="5"/>
      <c r="H632" s="5"/>
      <c r="I632" s="5"/>
      <c r="J632" s="5"/>
      <c r="K632" s="5"/>
      <c r="L632" s="5"/>
      <c r="M632" s="149"/>
      <c r="N632" s="5"/>
      <c r="O632" s="5"/>
      <c r="P632" s="5"/>
    </row>
    <row r="633">
      <c r="G633" s="5"/>
      <c r="H633" s="5"/>
      <c r="I633" s="5"/>
      <c r="J633" s="5"/>
      <c r="K633" s="5"/>
      <c r="L633" s="5"/>
      <c r="M633" s="149"/>
      <c r="N633" s="5"/>
      <c r="O633" s="5"/>
      <c r="P633" s="5"/>
    </row>
    <row r="634">
      <c r="G634" s="5"/>
      <c r="H634" s="5"/>
      <c r="I634" s="5"/>
      <c r="J634" s="5"/>
      <c r="K634" s="5"/>
      <c r="L634" s="5"/>
      <c r="M634" s="149"/>
      <c r="N634" s="5"/>
      <c r="O634" s="5"/>
      <c r="P634" s="5"/>
    </row>
    <row r="635">
      <c r="G635" s="5"/>
      <c r="H635" s="5"/>
      <c r="I635" s="5"/>
      <c r="J635" s="5"/>
      <c r="K635" s="5"/>
      <c r="L635" s="5"/>
      <c r="M635" s="149"/>
      <c r="N635" s="5"/>
      <c r="O635" s="5"/>
      <c r="P635" s="5"/>
    </row>
    <row r="636">
      <c r="G636" s="5"/>
      <c r="H636" s="5"/>
      <c r="I636" s="5"/>
      <c r="J636" s="5"/>
      <c r="K636" s="5"/>
      <c r="L636" s="5"/>
      <c r="M636" s="149"/>
      <c r="N636" s="5"/>
      <c r="O636" s="5"/>
      <c r="P636" s="5"/>
    </row>
    <row r="637">
      <c r="G637" s="5"/>
      <c r="H637" s="5"/>
      <c r="I637" s="5"/>
      <c r="J637" s="5"/>
      <c r="K637" s="5"/>
      <c r="L637" s="5"/>
      <c r="M637" s="149"/>
      <c r="N637" s="5"/>
      <c r="O637" s="5"/>
      <c r="P637" s="5"/>
    </row>
    <row r="638">
      <c r="G638" s="5"/>
      <c r="H638" s="5"/>
      <c r="I638" s="5"/>
      <c r="J638" s="5"/>
      <c r="K638" s="5"/>
      <c r="L638" s="5"/>
      <c r="M638" s="149"/>
      <c r="N638" s="5"/>
      <c r="O638" s="5"/>
      <c r="P638" s="5"/>
    </row>
    <row r="639">
      <c r="G639" s="5"/>
      <c r="H639" s="5"/>
      <c r="I639" s="5"/>
      <c r="J639" s="5"/>
      <c r="K639" s="5"/>
      <c r="L639" s="5"/>
      <c r="M639" s="149"/>
      <c r="N639" s="5"/>
      <c r="O639" s="5"/>
      <c r="P639" s="5"/>
    </row>
    <row r="640">
      <c r="G640" s="5"/>
      <c r="H640" s="5"/>
      <c r="I640" s="5"/>
      <c r="J640" s="5"/>
      <c r="K640" s="5"/>
      <c r="L640" s="5"/>
      <c r="M640" s="149"/>
      <c r="N640" s="5"/>
      <c r="O640" s="5"/>
      <c r="P640" s="5"/>
    </row>
    <row r="641">
      <c r="G641" s="5"/>
      <c r="H641" s="5"/>
      <c r="I641" s="5"/>
      <c r="J641" s="5"/>
      <c r="K641" s="5"/>
      <c r="L641" s="5"/>
      <c r="M641" s="149"/>
      <c r="N641" s="5"/>
      <c r="O641" s="5"/>
      <c r="P641" s="5"/>
    </row>
    <row r="642">
      <c r="G642" s="5"/>
      <c r="H642" s="5"/>
      <c r="I642" s="5"/>
      <c r="J642" s="5"/>
      <c r="K642" s="5"/>
      <c r="L642" s="5"/>
      <c r="M642" s="149"/>
      <c r="N642" s="5"/>
      <c r="O642" s="5"/>
      <c r="P642" s="5"/>
    </row>
    <row r="643">
      <c r="G643" s="5"/>
      <c r="H643" s="5"/>
      <c r="I643" s="5"/>
      <c r="J643" s="5"/>
      <c r="K643" s="5"/>
      <c r="L643" s="5"/>
      <c r="M643" s="149"/>
      <c r="N643" s="5"/>
      <c r="O643" s="5"/>
      <c r="P643" s="5"/>
    </row>
    <row r="644">
      <c r="G644" s="5"/>
      <c r="H644" s="5"/>
      <c r="I644" s="5"/>
      <c r="J644" s="5"/>
      <c r="K644" s="5"/>
      <c r="L644" s="5"/>
      <c r="M644" s="149"/>
      <c r="N644" s="5"/>
      <c r="O644" s="5"/>
      <c r="P644" s="5"/>
    </row>
    <row r="645">
      <c r="G645" s="5"/>
      <c r="H645" s="5"/>
      <c r="I645" s="5"/>
      <c r="J645" s="5"/>
      <c r="K645" s="5"/>
      <c r="L645" s="5"/>
      <c r="M645" s="149"/>
      <c r="N645" s="5"/>
      <c r="O645" s="5"/>
      <c r="P645" s="5"/>
    </row>
    <row r="646">
      <c r="G646" s="5"/>
      <c r="H646" s="5"/>
      <c r="I646" s="5"/>
      <c r="J646" s="5"/>
      <c r="K646" s="5"/>
      <c r="L646" s="5"/>
      <c r="M646" s="149"/>
      <c r="N646" s="5"/>
      <c r="O646" s="5"/>
      <c r="P646" s="5"/>
    </row>
    <row r="647">
      <c r="G647" s="5"/>
      <c r="H647" s="5"/>
      <c r="I647" s="5"/>
      <c r="J647" s="5"/>
      <c r="K647" s="5"/>
      <c r="L647" s="5"/>
      <c r="M647" s="149"/>
      <c r="N647" s="5"/>
      <c r="O647" s="5"/>
      <c r="P647" s="5"/>
    </row>
    <row r="648">
      <c r="G648" s="5"/>
      <c r="H648" s="5"/>
      <c r="I648" s="5"/>
      <c r="J648" s="5"/>
      <c r="K648" s="5"/>
      <c r="L648" s="5"/>
      <c r="M648" s="149"/>
      <c r="N648" s="5"/>
      <c r="O648" s="5"/>
      <c r="P648" s="5"/>
    </row>
    <row r="649">
      <c r="G649" s="5"/>
      <c r="H649" s="5"/>
      <c r="I649" s="5"/>
      <c r="J649" s="5"/>
      <c r="K649" s="5"/>
      <c r="L649" s="5"/>
      <c r="M649" s="149"/>
      <c r="N649" s="5"/>
      <c r="O649" s="5"/>
      <c r="P649" s="5"/>
    </row>
    <row r="650">
      <c r="G650" s="5"/>
      <c r="H650" s="5"/>
      <c r="I650" s="5"/>
      <c r="J650" s="5"/>
      <c r="K650" s="5"/>
      <c r="L650" s="5"/>
      <c r="M650" s="149"/>
      <c r="N650" s="5"/>
      <c r="O650" s="5"/>
      <c r="P650" s="5"/>
    </row>
    <row r="651">
      <c r="G651" s="5"/>
      <c r="H651" s="5"/>
      <c r="I651" s="5"/>
      <c r="J651" s="5"/>
      <c r="K651" s="5"/>
      <c r="L651" s="5"/>
      <c r="M651" s="149"/>
      <c r="N651" s="5"/>
      <c r="O651" s="5"/>
      <c r="P651" s="5"/>
    </row>
    <row r="652">
      <c r="G652" s="5"/>
      <c r="H652" s="5"/>
      <c r="I652" s="5"/>
      <c r="J652" s="5"/>
      <c r="K652" s="5"/>
      <c r="L652" s="5"/>
      <c r="M652" s="149"/>
      <c r="N652" s="5"/>
      <c r="O652" s="5"/>
      <c r="P652" s="5"/>
    </row>
    <row r="653">
      <c r="G653" s="5"/>
      <c r="H653" s="5"/>
      <c r="I653" s="5"/>
      <c r="J653" s="5"/>
      <c r="K653" s="5"/>
      <c r="L653" s="5"/>
      <c r="M653" s="149"/>
      <c r="N653" s="5"/>
      <c r="O653" s="5"/>
      <c r="P653" s="5"/>
    </row>
    <row r="654">
      <c r="G654" s="5"/>
      <c r="H654" s="5"/>
      <c r="I654" s="5"/>
      <c r="J654" s="5"/>
      <c r="K654" s="5"/>
      <c r="L654" s="5"/>
      <c r="M654" s="149"/>
      <c r="N654" s="5"/>
      <c r="O654" s="5"/>
      <c r="P654" s="5"/>
    </row>
    <row r="655">
      <c r="G655" s="5"/>
      <c r="H655" s="5"/>
      <c r="I655" s="5"/>
      <c r="J655" s="5"/>
      <c r="K655" s="5"/>
      <c r="L655" s="5"/>
      <c r="M655" s="149"/>
      <c r="N655" s="5"/>
      <c r="O655" s="5"/>
      <c r="P655" s="5"/>
    </row>
    <row r="656">
      <c r="G656" s="5"/>
      <c r="H656" s="5"/>
      <c r="I656" s="5"/>
      <c r="J656" s="5"/>
      <c r="K656" s="5"/>
      <c r="L656" s="5"/>
      <c r="M656" s="149"/>
      <c r="N656" s="5"/>
      <c r="O656" s="5"/>
      <c r="P656" s="5"/>
    </row>
    <row r="657">
      <c r="G657" s="5"/>
      <c r="H657" s="5"/>
      <c r="I657" s="5"/>
      <c r="J657" s="5"/>
      <c r="K657" s="5"/>
      <c r="L657" s="5"/>
      <c r="M657" s="149"/>
      <c r="N657" s="5"/>
      <c r="O657" s="5"/>
      <c r="P657" s="5"/>
    </row>
    <row r="658">
      <c r="G658" s="5"/>
      <c r="H658" s="5"/>
      <c r="I658" s="5"/>
      <c r="J658" s="5"/>
      <c r="K658" s="5"/>
      <c r="L658" s="5"/>
      <c r="M658" s="149"/>
      <c r="N658" s="5"/>
      <c r="O658" s="5"/>
      <c r="P658" s="5"/>
    </row>
    <row r="659">
      <c r="G659" s="5"/>
      <c r="H659" s="5"/>
      <c r="I659" s="5"/>
      <c r="J659" s="5"/>
      <c r="K659" s="5"/>
      <c r="L659" s="5"/>
      <c r="M659" s="149"/>
      <c r="N659" s="5"/>
      <c r="O659" s="5"/>
      <c r="P659" s="5"/>
    </row>
    <row r="660">
      <c r="G660" s="5"/>
      <c r="H660" s="5"/>
      <c r="I660" s="5"/>
      <c r="J660" s="5"/>
      <c r="K660" s="5"/>
      <c r="L660" s="5"/>
      <c r="M660" s="149"/>
      <c r="N660" s="5"/>
      <c r="O660" s="5"/>
      <c r="P660" s="5"/>
    </row>
    <row r="661">
      <c r="G661" s="5"/>
      <c r="H661" s="5"/>
      <c r="I661" s="5"/>
      <c r="J661" s="5"/>
      <c r="K661" s="5"/>
      <c r="L661" s="5"/>
      <c r="M661" s="149"/>
      <c r="N661" s="5"/>
      <c r="O661" s="5"/>
      <c r="P661" s="5"/>
    </row>
    <row r="662">
      <c r="G662" s="5"/>
      <c r="H662" s="5"/>
      <c r="I662" s="5"/>
      <c r="J662" s="5"/>
      <c r="K662" s="5"/>
      <c r="L662" s="5"/>
      <c r="M662" s="149"/>
      <c r="N662" s="5"/>
      <c r="O662" s="5"/>
      <c r="P662" s="5"/>
    </row>
    <row r="663">
      <c r="G663" s="5"/>
      <c r="H663" s="5"/>
      <c r="I663" s="5"/>
      <c r="J663" s="5"/>
      <c r="K663" s="5"/>
      <c r="L663" s="5"/>
      <c r="M663" s="149"/>
      <c r="N663" s="5"/>
      <c r="O663" s="5"/>
      <c r="P663" s="5"/>
    </row>
    <row r="664">
      <c r="G664" s="5"/>
      <c r="H664" s="5"/>
      <c r="I664" s="5"/>
      <c r="J664" s="5"/>
      <c r="K664" s="5"/>
      <c r="L664" s="5"/>
      <c r="M664" s="149"/>
      <c r="N664" s="5"/>
      <c r="O664" s="5"/>
      <c r="P664" s="5"/>
    </row>
    <row r="665">
      <c r="G665" s="5"/>
      <c r="H665" s="5"/>
      <c r="I665" s="5"/>
      <c r="J665" s="5"/>
      <c r="K665" s="5"/>
      <c r="L665" s="5"/>
      <c r="M665" s="149"/>
      <c r="N665" s="5"/>
      <c r="O665" s="5"/>
      <c r="P665" s="5"/>
    </row>
    <row r="666">
      <c r="G666" s="5"/>
      <c r="H666" s="5"/>
      <c r="I666" s="5"/>
      <c r="J666" s="5"/>
      <c r="K666" s="5"/>
      <c r="L666" s="5"/>
      <c r="M666" s="149"/>
      <c r="N666" s="5"/>
      <c r="O666" s="5"/>
      <c r="P666" s="5"/>
    </row>
    <row r="667">
      <c r="G667" s="5"/>
      <c r="H667" s="5"/>
      <c r="I667" s="5"/>
      <c r="J667" s="5"/>
      <c r="K667" s="5"/>
      <c r="L667" s="5"/>
      <c r="M667" s="149"/>
      <c r="N667" s="5"/>
      <c r="O667" s="5"/>
      <c r="P667" s="5"/>
    </row>
    <row r="668">
      <c r="G668" s="5"/>
      <c r="H668" s="5"/>
      <c r="I668" s="5"/>
      <c r="J668" s="5"/>
      <c r="K668" s="5"/>
      <c r="L668" s="5"/>
      <c r="M668" s="149"/>
      <c r="N668" s="5"/>
      <c r="O668" s="5"/>
      <c r="P668" s="5"/>
    </row>
    <row r="669">
      <c r="G669" s="5"/>
      <c r="H669" s="5"/>
      <c r="I669" s="5"/>
      <c r="J669" s="5"/>
      <c r="K669" s="5"/>
      <c r="L669" s="5"/>
      <c r="M669" s="149"/>
      <c r="N669" s="5"/>
      <c r="O669" s="5"/>
      <c r="P669" s="5"/>
    </row>
    <row r="670">
      <c r="G670" s="5"/>
      <c r="H670" s="5"/>
      <c r="I670" s="5"/>
      <c r="J670" s="5"/>
      <c r="K670" s="5"/>
      <c r="L670" s="5"/>
      <c r="M670" s="149"/>
      <c r="N670" s="5"/>
      <c r="O670" s="5"/>
      <c r="P670" s="5"/>
    </row>
    <row r="671">
      <c r="G671" s="5"/>
      <c r="H671" s="5"/>
      <c r="I671" s="5"/>
      <c r="J671" s="5"/>
      <c r="K671" s="5"/>
      <c r="L671" s="5"/>
      <c r="M671" s="149"/>
      <c r="N671" s="5"/>
      <c r="O671" s="5"/>
      <c r="P671" s="5"/>
    </row>
    <row r="672">
      <c r="G672" s="5"/>
      <c r="H672" s="5"/>
      <c r="I672" s="5"/>
      <c r="J672" s="5"/>
      <c r="K672" s="5"/>
      <c r="L672" s="5"/>
      <c r="M672" s="149"/>
      <c r="N672" s="5"/>
      <c r="O672" s="5"/>
      <c r="P672" s="5"/>
    </row>
    <row r="673">
      <c r="G673" s="5"/>
      <c r="H673" s="5"/>
      <c r="I673" s="5"/>
      <c r="J673" s="5"/>
      <c r="K673" s="5"/>
      <c r="L673" s="5"/>
      <c r="M673" s="149"/>
      <c r="N673" s="5"/>
      <c r="O673" s="5"/>
      <c r="P673" s="5"/>
    </row>
    <row r="674">
      <c r="G674" s="5"/>
      <c r="H674" s="5"/>
      <c r="I674" s="5"/>
      <c r="J674" s="5"/>
      <c r="K674" s="5"/>
      <c r="L674" s="5"/>
      <c r="M674" s="149"/>
      <c r="N674" s="5"/>
      <c r="O674" s="5"/>
      <c r="P674" s="5"/>
    </row>
    <row r="675">
      <c r="G675" s="5"/>
      <c r="H675" s="5"/>
      <c r="I675" s="5"/>
      <c r="J675" s="5"/>
      <c r="K675" s="5"/>
      <c r="L675" s="5"/>
      <c r="M675" s="149"/>
      <c r="N675" s="5"/>
      <c r="O675" s="5"/>
      <c r="P675" s="5"/>
    </row>
    <row r="676">
      <c r="G676" s="5"/>
      <c r="H676" s="5"/>
      <c r="I676" s="5"/>
      <c r="J676" s="5"/>
      <c r="K676" s="5"/>
      <c r="L676" s="5"/>
      <c r="M676" s="149"/>
      <c r="N676" s="5"/>
      <c r="O676" s="5"/>
      <c r="P676" s="5"/>
    </row>
    <row r="677">
      <c r="G677" s="5"/>
      <c r="H677" s="5"/>
      <c r="I677" s="5"/>
      <c r="J677" s="5"/>
      <c r="K677" s="5"/>
      <c r="L677" s="5"/>
      <c r="M677" s="149"/>
      <c r="N677" s="5"/>
      <c r="O677" s="5"/>
      <c r="P677" s="5"/>
    </row>
    <row r="678">
      <c r="G678" s="5"/>
      <c r="H678" s="5"/>
      <c r="I678" s="5"/>
      <c r="J678" s="5"/>
      <c r="K678" s="5"/>
      <c r="L678" s="5"/>
      <c r="M678" s="149"/>
      <c r="N678" s="5"/>
      <c r="O678" s="5"/>
      <c r="P678" s="5"/>
    </row>
    <row r="679">
      <c r="G679" s="5"/>
      <c r="H679" s="5"/>
      <c r="I679" s="5"/>
      <c r="J679" s="5"/>
      <c r="K679" s="5"/>
      <c r="L679" s="5"/>
      <c r="M679" s="149"/>
      <c r="N679" s="5"/>
      <c r="O679" s="5"/>
      <c r="P679" s="5"/>
    </row>
    <row r="680">
      <c r="G680" s="5"/>
      <c r="H680" s="5"/>
      <c r="I680" s="5"/>
      <c r="J680" s="5"/>
      <c r="K680" s="5"/>
      <c r="L680" s="5"/>
      <c r="M680" s="149"/>
      <c r="N680" s="5"/>
      <c r="O680" s="5"/>
      <c r="P680" s="5"/>
    </row>
    <row r="681">
      <c r="G681" s="5"/>
      <c r="H681" s="5"/>
      <c r="I681" s="5"/>
      <c r="J681" s="5"/>
      <c r="K681" s="5"/>
      <c r="L681" s="5"/>
      <c r="M681" s="149"/>
      <c r="N681" s="5"/>
      <c r="O681" s="5"/>
      <c r="P681" s="5"/>
    </row>
    <row r="682">
      <c r="G682" s="5"/>
      <c r="H682" s="5"/>
      <c r="I682" s="5"/>
      <c r="J682" s="5"/>
      <c r="K682" s="5"/>
      <c r="L682" s="5"/>
      <c r="M682" s="149"/>
      <c r="N682" s="5"/>
      <c r="O682" s="5"/>
      <c r="P682" s="5"/>
    </row>
    <row r="683">
      <c r="G683" s="5"/>
      <c r="H683" s="5"/>
      <c r="I683" s="5"/>
      <c r="J683" s="5"/>
      <c r="K683" s="5"/>
      <c r="L683" s="5"/>
      <c r="M683" s="149"/>
      <c r="N683" s="5"/>
      <c r="O683" s="5"/>
      <c r="P683" s="5"/>
    </row>
    <row r="684">
      <c r="G684" s="5"/>
      <c r="H684" s="5"/>
      <c r="I684" s="5"/>
      <c r="J684" s="5"/>
      <c r="K684" s="5"/>
      <c r="L684" s="5"/>
      <c r="M684" s="149"/>
      <c r="N684" s="5"/>
      <c r="O684" s="5"/>
      <c r="P684" s="5"/>
    </row>
    <row r="685">
      <c r="G685" s="5"/>
      <c r="H685" s="5"/>
      <c r="I685" s="5"/>
      <c r="J685" s="5"/>
      <c r="K685" s="5"/>
      <c r="L685" s="5"/>
      <c r="M685" s="149"/>
      <c r="N685" s="5"/>
      <c r="O685" s="5"/>
      <c r="P685" s="5"/>
    </row>
    <row r="686">
      <c r="G686" s="5"/>
      <c r="H686" s="5"/>
      <c r="I686" s="5"/>
      <c r="J686" s="5"/>
      <c r="K686" s="5"/>
      <c r="L686" s="5"/>
      <c r="M686" s="149"/>
      <c r="N686" s="5"/>
      <c r="O686" s="5"/>
      <c r="P686" s="5"/>
    </row>
    <row r="687">
      <c r="G687" s="5"/>
      <c r="H687" s="5"/>
      <c r="I687" s="5"/>
      <c r="J687" s="5"/>
      <c r="K687" s="5"/>
      <c r="L687" s="5"/>
      <c r="M687" s="149"/>
      <c r="N687" s="5"/>
      <c r="O687" s="5"/>
      <c r="P687" s="5"/>
    </row>
    <row r="688">
      <c r="G688" s="5"/>
      <c r="H688" s="5"/>
      <c r="I688" s="5"/>
      <c r="J688" s="5"/>
      <c r="K688" s="5"/>
      <c r="L688" s="5"/>
      <c r="M688" s="149"/>
      <c r="N688" s="5"/>
      <c r="O688" s="5"/>
      <c r="P688" s="5"/>
    </row>
    <row r="689">
      <c r="G689" s="5"/>
      <c r="H689" s="5"/>
      <c r="I689" s="5"/>
      <c r="J689" s="5"/>
      <c r="K689" s="5"/>
      <c r="L689" s="5"/>
      <c r="M689" s="149"/>
      <c r="N689" s="5"/>
      <c r="O689" s="5"/>
      <c r="P689" s="5"/>
    </row>
    <row r="690">
      <c r="G690" s="5"/>
      <c r="H690" s="5"/>
      <c r="I690" s="5"/>
      <c r="J690" s="5"/>
      <c r="K690" s="5"/>
      <c r="L690" s="5"/>
      <c r="M690" s="149"/>
      <c r="N690" s="5"/>
      <c r="O690" s="5"/>
      <c r="P690" s="5"/>
    </row>
    <row r="691">
      <c r="G691" s="5"/>
      <c r="H691" s="5"/>
      <c r="I691" s="5"/>
      <c r="J691" s="5"/>
      <c r="K691" s="5"/>
      <c r="L691" s="5"/>
      <c r="M691" s="149"/>
      <c r="N691" s="5"/>
      <c r="O691" s="5"/>
      <c r="P691" s="5"/>
    </row>
    <row r="692">
      <c r="G692" s="5"/>
      <c r="H692" s="5"/>
      <c r="I692" s="5"/>
      <c r="J692" s="5"/>
      <c r="K692" s="5"/>
      <c r="L692" s="5"/>
      <c r="M692" s="149"/>
      <c r="N692" s="5"/>
      <c r="O692" s="5"/>
      <c r="P692" s="5"/>
    </row>
    <row r="693">
      <c r="G693" s="5"/>
      <c r="H693" s="5"/>
      <c r="I693" s="5"/>
      <c r="J693" s="5"/>
      <c r="K693" s="5"/>
      <c r="L693" s="5"/>
      <c r="M693" s="149"/>
      <c r="N693" s="5"/>
      <c r="O693" s="5"/>
      <c r="P693" s="5"/>
    </row>
    <row r="694">
      <c r="G694" s="5"/>
      <c r="H694" s="5"/>
      <c r="I694" s="5"/>
      <c r="J694" s="5"/>
      <c r="K694" s="5"/>
      <c r="L694" s="5"/>
      <c r="M694" s="149"/>
      <c r="N694" s="5"/>
      <c r="O694" s="5"/>
      <c r="P694" s="5"/>
    </row>
    <row r="695">
      <c r="G695" s="5"/>
      <c r="H695" s="5"/>
      <c r="I695" s="5"/>
      <c r="J695" s="5"/>
      <c r="K695" s="5"/>
      <c r="L695" s="5"/>
      <c r="M695" s="149"/>
      <c r="N695" s="5"/>
      <c r="O695" s="5"/>
      <c r="P695" s="5"/>
    </row>
    <row r="696">
      <c r="G696" s="5"/>
      <c r="H696" s="5"/>
      <c r="I696" s="5"/>
      <c r="J696" s="5"/>
      <c r="K696" s="5"/>
      <c r="L696" s="5"/>
      <c r="M696" s="149"/>
      <c r="N696" s="5"/>
      <c r="O696" s="5"/>
      <c r="P696" s="5"/>
    </row>
    <row r="697">
      <c r="G697" s="5"/>
      <c r="H697" s="5"/>
      <c r="I697" s="5"/>
      <c r="J697" s="5"/>
      <c r="K697" s="5"/>
      <c r="L697" s="5"/>
      <c r="M697" s="149"/>
      <c r="N697" s="5"/>
      <c r="O697" s="5"/>
      <c r="P697" s="5"/>
    </row>
    <row r="698">
      <c r="G698" s="5"/>
      <c r="H698" s="5"/>
      <c r="I698" s="5"/>
      <c r="J698" s="5"/>
      <c r="K698" s="5"/>
      <c r="L698" s="5"/>
      <c r="M698" s="149"/>
      <c r="N698" s="5"/>
      <c r="O698" s="5"/>
      <c r="P698" s="5"/>
    </row>
    <row r="699">
      <c r="G699" s="5"/>
      <c r="H699" s="5"/>
      <c r="I699" s="5"/>
      <c r="J699" s="5"/>
      <c r="K699" s="5"/>
      <c r="L699" s="5"/>
      <c r="M699" s="149"/>
      <c r="N699" s="5"/>
      <c r="O699" s="5"/>
      <c r="P699" s="5"/>
    </row>
    <row r="700">
      <c r="G700" s="5"/>
      <c r="H700" s="5"/>
      <c r="I700" s="5"/>
      <c r="J700" s="5"/>
      <c r="K700" s="5"/>
      <c r="L700" s="5"/>
      <c r="M700" s="149"/>
      <c r="N700" s="5"/>
      <c r="O700" s="5"/>
      <c r="P700" s="5"/>
    </row>
    <row r="701">
      <c r="G701" s="5"/>
      <c r="H701" s="5"/>
      <c r="I701" s="5"/>
      <c r="J701" s="5"/>
      <c r="K701" s="5"/>
      <c r="L701" s="5"/>
      <c r="M701" s="149"/>
      <c r="N701" s="5"/>
      <c r="O701" s="5"/>
      <c r="P701" s="5"/>
    </row>
    <row r="702">
      <c r="G702" s="5"/>
      <c r="H702" s="5"/>
      <c r="I702" s="5"/>
      <c r="J702" s="5"/>
      <c r="K702" s="5"/>
      <c r="L702" s="5"/>
      <c r="M702" s="149"/>
      <c r="N702" s="5"/>
      <c r="O702" s="5"/>
      <c r="P702" s="5"/>
    </row>
    <row r="703">
      <c r="G703" s="5"/>
      <c r="H703" s="5"/>
      <c r="I703" s="5"/>
      <c r="J703" s="5"/>
      <c r="K703" s="5"/>
      <c r="L703" s="5"/>
      <c r="M703" s="149"/>
      <c r="N703" s="5"/>
      <c r="O703" s="5"/>
      <c r="P703" s="5"/>
    </row>
    <row r="704">
      <c r="G704" s="5"/>
      <c r="H704" s="5"/>
      <c r="I704" s="5"/>
      <c r="J704" s="5"/>
      <c r="K704" s="5"/>
      <c r="L704" s="5"/>
      <c r="M704" s="149"/>
      <c r="N704" s="5"/>
      <c r="O704" s="5"/>
      <c r="P704" s="5"/>
    </row>
    <row r="705">
      <c r="G705" s="5"/>
      <c r="H705" s="5"/>
      <c r="I705" s="5"/>
      <c r="J705" s="5"/>
      <c r="K705" s="5"/>
      <c r="L705" s="5"/>
      <c r="M705" s="149"/>
      <c r="N705" s="5"/>
      <c r="O705" s="5"/>
      <c r="P705" s="5"/>
    </row>
    <row r="706">
      <c r="G706" s="5"/>
      <c r="H706" s="5"/>
      <c r="I706" s="5"/>
      <c r="J706" s="5"/>
      <c r="K706" s="5"/>
      <c r="L706" s="5"/>
      <c r="M706" s="149"/>
      <c r="N706" s="5"/>
      <c r="O706" s="5"/>
      <c r="P706" s="5"/>
    </row>
    <row r="707">
      <c r="G707" s="5"/>
      <c r="H707" s="5"/>
      <c r="I707" s="5"/>
      <c r="J707" s="5"/>
      <c r="K707" s="5"/>
      <c r="L707" s="5"/>
      <c r="M707" s="149"/>
      <c r="N707" s="5"/>
      <c r="O707" s="5"/>
      <c r="P707" s="5"/>
    </row>
    <row r="708">
      <c r="G708" s="5"/>
      <c r="H708" s="5"/>
      <c r="I708" s="5"/>
      <c r="J708" s="5"/>
      <c r="K708" s="5"/>
      <c r="L708" s="5"/>
      <c r="M708" s="149"/>
      <c r="N708" s="5"/>
      <c r="O708" s="5"/>
      <c r="P708" s="5"/>
    </row>
    <row r="709">
      <c r="G709" s="5"/>
      <c r="H709" s="5"/>
      <c r="I709" s="5"/>
      <c r="J709" s="5"/>
      <c r="K709" s="5"/>
      <c r="L709" s="5"/>
      <c r="M709" s="149"/>
      <c r="N709" s="5"/>
      <c r="O709" s="5"/>
      <c r="P709" s="5"/>
    </row>
    <row r="710">
      <c r="G710" s="5"/>
      <c r="H710" s="5"/>
      <c r="I710" s="5"/>
      <c r="J710" s="5"/>
      <c r="K710" s="5"/>
      <c r="L710" s="5"/>
      <c r="M710" s="149"/>
      <c r="N710" s="5"/>
      <c r="O710" s="5"/>
      <c r="P710" s="5"/>
    </row>
    <row r="711">
      <c r="G711" s="5"/>
      <c r="H711" s="5"/>
      <c r="I711" s="5"/>
      <c r="J711" s="5"/>
      <c r="K711" s="5"/>
      <c r="L711" s="5"/>
      <c r="M711" s="149"/>
      <c r="N711" s="5"/>
      <c r="O711" s="5"/>
      <c r="P711" s="5"/>
    </row>
    <row r="712">
      <c r="G712" s="5"/>
      <c r="H712" s="5"/>
      <c r="I712" s="5"/>
      <c r="J712" s="5"/>
      <c r="K712" s="5"/>
      <c r="L712" s="5"/>
      <c r="M712" s="149"/>
      <c r="N712" s="5"/>
      <c r="O712" s="5"/>
      <c r="P712" s="5"/>
    </row>
    <row r="713">
      <c r="G713" s="5"/>
      <c r="H713" s="5"/>
      <c r="I713" s="5"/>
      <c r="J713" s="5"/>
      <c r="K713" s="5"/>
      <c r="L713" s="5"/>
      <c r="M713" s="149"/>
      <c r="N713" s="5"/>
      <c r="O713" s="5"/>
      <c r="P713" s="5"/>
    </row>
    <row r="714">
      <c r="G714" s="5"/>
      <c r="H714" s="5"/>
      <c r="I714" s="5"/>
      <c r="J714" s="5"/>
      <c r="K714" s="5"/>
      <c r="L714" s="5"/>
      <c r="M714" s="149"/>
      <c r="N714" s="5"/>
      <c r="O714" s="5"/>
      <c r="P714" s="5"/>
    </row>
    <row r="715">
      <c r="G715" s="5"/>
      <c r="H715" s="5"/>
      <c r="I715" s="5"/>
      <c r="J715" s="5"/>
      <c r="K715" s="5"/>
      <c r="L715" s="5"/>
      <c r="M715" s="149"/>
      <c r="N715" s="5"/>
      <c r="O715" s="5"/>
      <c r="P715" s="5"/>
    </row>
    <row r="716">
      <c r="G716" s="5"/>
      <c r="H716" s="5"/>
      <c r="I716" s="5"/>
      <c r="J716" s="5"/>
      <c r="K716" s="5"/>
      <c r="L716" s="5"/>
      <c r="M716" s="149"/>
      <c r="N716" s="5"/>
      <c r="O716" s="5"/>
      <c r="P716" s="5"/>
    </row>
    <row r="717">
      <c r="G717" s="5"/>
      <c r="H717" s="5"/>
      <c r="I717" s="5"/>
      <c r="J717" s="5"/>
      <c r="K717" s="5"/>
      <c r="L717" s="5"/>
      <c r="M717" s="149"/>
      <c r="N717" s="5"/>
      <c r="O717" s="5"/>
      <c r="P717" s="5"/>
    </row>
    <row r="718">
      <c r="G718" s="5"/>
      <c r="H718" s="5"/>
      <c r="I718" s="5"/>
      <c r="J718" s="5"/>
      <c r="K718" s="5"/>
      <c r="L718" s="5"/>
      <c r="M718" s="149"/>
      <c r="N718" s="5"/>
      <c r="O718" s="5"/>
      <c r="P718" s="5"/>
    </row>
    <row r="719">
      <c r="G719" s="5"/>
      <c r="H719" s="5"/>
      <c r="I719" s="5"/>
      <c r="J719" s="5"/>
      <c r="K719" s="5"/>
      <c r="L719" s="5"/>
      <c r="M719" s="149"/>
      <c r="N719" s="5"/>
      <c r="O719" s="5"/>
      <c r="P719" s="5"/>
    </row>
    <row r="720">
      <c r="G720" s="5"/>
      <c r="H720" s="5"/>
      <c r="I720" s="5"/>
      <c r="J720" s="5"/>
      <c r="K720" s="5"/>
      <c r="L720" s="5"/>
      <c r="M720" s="149"/>
      <c r="N720" s="5"/>
      <c r="O720" s="5"/>
      <c r="P720" s="5"/>
    </row>
    <row r="721">
      <c r="G721" s="5"/>
      <c r="H721" s="5"/>
      <c r="I721" s="5"/>
      <c r="J721" s="5"/>
      <c r="K721" s="5"/>
      <c r="L721" s="5"/>
      <c r="M721" s="149"/>
      <c r="N721" s="5"/>
      <c r="O721" s="5"/>
      <c r="P721" s="5"/>
    </row>
    <row r="722">
      <c r="G722" s="5"/>
      <c r="H722" s="5"/>
      <c r="I722" s="5"/>
      <c r="J722" s="5"/>
      <c r="K722" s="5"/>
      <c r="L722" s="5"/>
      <c r="M722" s="149"/>
      <c r="N722" s="5"/>
      <c r="O722" s="5"/>
      <c r="P722" s="5"/>
    </row>
    <row r="723">
      <c r="G723" s="5"/>
      <c r="H723" s="5"/>
      <c r="I723" s="5"/>
      <c r="J723" s="5"/>
      <c r="K723" s="5"/>
      <c r="L723" s="5"/>
      <c r="M723" s="149"/>
      <c r="N723" s="5"/>
      <c r="O723" s="5"/>
      <c r="P723" s="5"/>
    </row>
    <row r="724">
      <c r="G724" s="5"/>
      <c r="H724" s="5"/>
      <c r="I724" s="5"/>
      <c r="J724" s="5"/>
      <c r="K724" s="5"/>
      <c r="L724" s="5"/>
      <c r="M724" s="149"/>
      <c r="N724" s="5"/>
      <c r="O724" s="5"/>
      <c r="P724" s="5"/>
    </row>
    <row r="725">
      <c r="G725" s="5"/>
      <c r="H725" s="5"/>
      <c r="I725" s="5"/>
      <c r="J725" s="5"/>
      <c r="K725" s="5"/>
      <c r="L725" s="5"/>
      <c r="M725" s="149"/>
      <c r="N725" s="5"/>
      <c r="O725" s="5"/>
      <c r="P725" s="5"/>
    </row>
    <row r="726">
      <c r="G726" s="5"/>
      <c r="H726" s="5"/>
      <c r="I726" s="5"/>
      <c r="J726" s="5"/>
      <c r="K726" s="5"/>
      <c r="L726" s="5"/>
      <c r="M726" s="149"/>
      <c r="N726" s="5"/>
      <c r="O726" s="5"/>
      <c r="P726" s="5"/>
    </row>
    <row r="727">
      <c r="G727" s="5"/>
      <c r="H727" s="5"/>
      <c r="I727" s="5"/>
      <c r="J727" s="5"/>
      <c r="K727" s="5"/>
      <c r="L727" s="5"/>
      <c r="M727" s="149"/>
      <c r="N727" s="5"/>
      <c r="O727" s="5"/>
      <c r="P727" s="5"/>
    </row>
    <row r="728">
      <c r="G728" s="5"/>
      <c r="H728" s="5"/>
      <c r="I728" s="5"/>
      <c r="J728" s="5"/>
      <c r="K728" s="5"/>
      <c r="L728" s="5"/>
      <c r="M728" s="149"/>
      <c r="N728" s="5"/>
      <c r="O728" s="5"/>
      <c r="P728" s="5"/>
    </row>
    <row r="729">
      <c r="G729" s="5"/>
      <c r="H729" s="5"/>
      <c r="I729" s="5"/>
      <c r="J729" s="5"/>
      <c r="K729" s="5"/>
      <c r="L729" s="5"/>
      <c r="M729" s="149"/>
      <c r="N729" s="5"/>
      <c r="O729" s="5"/>
      <c r="P729" s="5"/>
    </row>
    <row r="730">
      <c r="G730" s="5"/>
      <c r="H730" s="5"/>
      <c r="I730" s="5"/>
      <c r="J730" s="5"/>
      <c r="K730" s="5"/>
      <c r="L730" s="5"/>
      <c r="M730" s="149"/>
      <c r="N730" s="5"/>
      <c r="O730" s="5"/>
      <c r="P730" s="5"/>
    </row>
    <row r="731">
      <c r="G731" s="5"/>
      <c r="H731" s="5"/>
      <c r="I731" s="5"/>
      <c r="J731" s="5"/>
      <c r="K731" s="5"/>
      <c r="L731" s="5"/>
      <c r="M731" s="149"/>
      <c r="N731" s="5"/>
      <c r="O731" s="5"/>
      <c r="P731" s="5"/>
    </row>
    <row r="732">
      <c r="G732" s="5"/>
      <c r="H732" s="5"/>
      <c r="I732" s="5"/>
      <c r="J732" s="5"/>
      <c r="K732" s="5"/>
      <c r="L732" s="5"/>
      <c r="M732" s="149"/>
      <c r="N732" s="5"/>
      <c r="O732" s="5"/>
      <c r="P732" s="5"/>
    </row>
    <row r="733">
      <c r="G733" s="5"/>
      <c r="H733" s="5"/>
      <c r="I733" s="5"/>
      <c r="J733" s="5"/>
      <c r="K733" s="5"/>
      <c r="L733" s="5"/>
      <c r="M733" s="149"/>
      <c r="N733" s="5"/>
      <c r="O733" s="5"/>
      <c r="P733" s="5"/>
    </row>
    <row r="734">
      <c r="G734" s="5"/>
      <c r="H734" s="5"/>
      <c r="I734" s="5"/>
      <c r="J734" s="5"/>
      <c r="K734" s="5"/>
      <c r="L734" s="5"/>
      <c r="M734" s="149"/>
      <c r="N734" s="5"/>
      <c r="O734" s="5"/>
      <c r="P734" s="5"/>
    </row>
    <row r="735">
      <c r="G735" s="5"/>
      <c r="H735" s="5"/>
      <c r="I735" s="5"/>
      <c r="J735" s="5"/>
      <c r="K735" s="5"/>
      <c r="L735" s="5"/>
      <c r="M735" s="149"/>
      <c r="N735" s="5"/>
      <c r="O735" s="5"/>
      <c r="P735" s="5"/>
    </row>
    <row r="736">
      <c r="G736" s="5"/>
      <c r="H736" s="5"/>
      <c r="I736" s="5"/>
      <c r="J736" s="5"/>
      <c r="K736" s="5"/>
      <c r="L736" s="5"/>
      <c r="M736" s="149"/>
      <c r="N736" s="5"/>
      <c r="O736" s="5"/>
      <c r="P736" s="5"/>
    </row>
    <row r="737">
      <c r="G737" s="5"/>
      <c r="H737" s="5"/>
      <c r="I737" s="5"/>
      <c r="J737" s="5"/>
      <c r="K737" s="5"/>
      <c r="L737" s="5"/>
      <c r="M737" s="149"/>
      <c r="N737" s="5"/>
      <c r="O737" s="5"/>
      <c r="P737" s="5"/>
    </row>
    <row r="738">
      <c r="G738" s="5"/>
      <c r="H738" s="5"/>
      <c r="I738" s="5"/>
      <c r="J738" s="5"/>
      <c r="K738" s="5"/>
      <c r="L738" s="5"/>
      <c r="M738" s="149"/>
      <c r="N738" s="5"/>
      <c r="O738" s="5"/>
      <c r="P738" s="5"/>
    </row>
    <row r="739">
      <c r="G739" s="5"/>
      <c r="H739" s="5"/>
      <c r="I739" s="5"/>
      <c r="J739" s="5"/>
      <c r="K739" s="5"/>
      <c r="L739" s="5"/>
      <c r="M739" s="149"/>
      <c r="N739" s="5"/>
      <c r="O739" s="5"/>
      <c r="P739" s="5"/>
    </row>
    <row r="740">
      <c r="G740" s="5"/>
      <c r="H740" s="5"/>
      <c r="I740" s="5"/>
      <c r="J740" s="5"/>
      <c r="K740" s="5"/>
      <c r="L740" s="5"/>
      <c r="M740" s="149"/>
      <c r="N740" s="5"/>
      <c r="O740" s="5"/>
      <c r="P740" s="5"/>
    </row>
    <row r="741">
      <c r="G741" s="5"/>
      <c r="H741" s="5"/>
      <c r="I741" s="5"/>
      <c r="J741" s="5"/>
      <c r="K741" s="5"/>
      <c r="L741" s="5"/>
      <c r="M741" s="149"/>
      <c r="N741" s="5"/>
      <c r="O741" s="5"/>
      <c r="P741" s="5"/>
    </row>
    <row r="742">
      <c r="G742" s="5"/>
      <c r="H742" s="5"/>
      <c r="I742" s="5"/>
      <c r="J742" s="5"/>
      <c r="K742" s="5"/>
      <c r="L742" s="5"/>
      <c r="M742" s="149"/>
      <c r="N742" s="5"/>
      <c r="O742" s="5"/>
      <c r="P742" s="5"/>
    </row>
    <row r="743">
      <c r="G743" s="5"/>
      <c r="H743" s="5"/>
      <c r="I743" s="5"/>
      <c r="J743" s="5"/>
      <c r="K743" s="5"/>
      <c r="L743" s="5"/>
      <c r="M743" s="149"/>
      <c r="N743" s="5"/>
      <c r="O743" s="5"/>
      <c r="P743" s="5"/>
    </row>
    <row r="744">
      <c r="G744" s="5"/>
      <c r="H744" s="5"/>
      <c r="I744" s="5"/>
      <c r="J744" s="5"/>
      <c r="K744" s="5"/>
      <c r="L744" s="5"/>
      <c r="M744" s="149"/>
      <c r="N744" s="5"/>
      <c r="O744" s="5"/>
      <c r="P744" s="5"/>
    </row>
    <row r="745">
      <c r="G745" s="5"/>
      <c r="H745" s="5"/>
      <c r="I745" s="5"/>
      <c r="J745" s="5"/>
      <c r="K745" s="5"/>
      <c r="L745" s="5"/>
      <c r="M745" s="149"/>
      <c r="N745" s="5"/>
      <c r="O745" s="5"/>
      <c r="P745" s="5"/>
    </row>
    <row r="746">
      <c r="G746" s="5"/>
      <c r="H746" s="5"/>
      <c r="I746" s="5"/>
      <c r="J746" s="5"/>
      <c r="K746" s="5"/>
      <c r="L746" s="5"/>
      <c r="M746" s="149"/>
      <c r="N746" s="5"/>
      <c r="O746" s="5"/>
      <c r="P746" s="5"/>
    </row>
    <row r="747">
      <c r="G747" s="5"/>
      <c r="H747" s="5"/>
      <c r="I747" s="5"/>
      <c r="J747" s="5"/>
      <c r="K747" s="5"/>
      <c r="L747" s="5"/>
      <c r="M747" s="149"/>
      <c r="N747" s="5"/>
      <c r="O747" s="5"/>
      <c r="P747" s="5"/>
    </row>
    <row r="748">
      <c r="G748" s="5"/>
      <c r="H748" s="5"/>
      <c r="I748" s="5"/>
      <c r="J748" s="5"/>
      <c r="K748" s="5"/>
      <c r="L748" s="5"/>
      <c r="M748" s="149"/>
      <c r="N748" s="5"/>
      <c r="O748" s="5"/>
      <c r="P748" s="5"/>
    </row>
    <row r="749">
      <c r="G749" s="5"/>
      <c r="H749" s="5"/>
      <c r="I749" s="5"/>
      <c r="J749" s="5"/>
      <c r="K749" s="5"/>
      <c r="L749" s="5"/>
      <c r="M749" s="149"/>
      <c r="N749" s="5"/>
      <c r="O749" s="5"/>
      <c r="P749" s="5"/>
    </row>
    <row r="750">
      <c r="G750" s="5"/>
      <c r="H750" s="5"/>
      <c r="I750" s="5"/>
      <c r="J750" s="5"/>
      <c r="K750" s="5"/>
      <c r="L750" s="5"/>
      <c r="M750" s="149"/>
      <c r="N750" s="5"/>
      <c r="O750" s="5"/>
      <c r="P750" s="5"/>
    </row>
    <row r="751">
      <c r="G751" s="5"/>
      <c r="H751" s="5"/>
      <c r="I751" s="5"/>
      <c r="J751" s="5"/>
      <c r="K751" s="5"/>
      <c r="L751" s="5"/>
      <c r="M751" s="149"/>
      <c r="N751" s="5"/>
      <c r="O751" s="5"/>
      <c r="P751" s="5"/>
    </row>
    <row r="752">
      <c r="G752" s="5"/>
      <c r="H752" s="5"/>
      <c r="I752" s="5"/>
      <c r="J752" s="5"/>
      <c r="K752" s="5"/>
      <c r="L752" s="5"/>
      <c r="M752" s="149"/>
      <c r="N752" s="5"/>
      <c r="O752" s="5"/>
      <c r="P752" s="5"/>
    </row>
    <row r="753">
      <c r="G753" s="5"/>
      <c r="H753" s="5"/>
      <c r="I753" s="5"/>
      <c r="J753" s="5"/>
      <c r="K753" s="5"/>
      <c r="L753" s="5"/>
      <c r="M753" s="149"/>
      <c r="N753" s="5"/>
      <c r="O753" s="5"/>
      <c r="P753" s="5"/>
    </row>
    <row r="754">
      <c r="G754" s="5"/>
      <c r="H754" s="5"/>
      <c r="I754" s="5"/>
      <c r="J754" s="5"/>
      <c r="K754" s="5"/>
      <c r="L754" s="5"/>
      <c r="M754" s="149"/>
      <c r="N754" s="5"/>
      <c r="O754" s="5"/>
      <c r="P754" s="5"/>
    </row>
    <row r="755">
      <c r="G755" s="5"/>
      <c r="H755" s="5"/>
      <c r="I755" s="5"/>
      <c r="J755" s="5"/>
      <c r="K755" s="5"/>
      <c r="L755" s="5"/>
      <c r="M755" s="149"/>
      <c r="N755" s="5"/>
      <c r="O755" s="5"/>
      <c r="P755" s="5"/>
    </row>
    <row r="756">
      <c r="G756" s="5"/>
      <c r="H756" s="5"/>
      <c r="I756" s="5"/>
      <c r="J756" s="5"/>
      <c r="K756" s="5"/>
      <c r="L756" s="5"/>
      <c r="M756" s="149"/>
      <c r="N756" s="5"/>
      <c r="O756" s="5"/>
      <c r="P756" s="5"/>
    </row>
    <row r="757">
      <c r="G757" s="5"/>
      <c r="H757" s="5"/>
      <c r="I757" s="5"/>
      <c r="J757" s="5"/>
      <c r="K757" s="5"/>
      <c r="L757" s="5"/>
      <c r="M757" s="149"/>
      <c r="N757" s="5"/>
      <c r="O757" s="5"/>
      <c r="P757" s="5"/>
    </row>
    <row r="758">
      <c r="G758" s="5"/>
      <c r="H758" s="5"/>
      <c r="I758" s="5"/>
      <c r="J758" s="5"/>
      <c r="K758" s="5"/>
      <c r="L758" s="5"/>
      <c r="M758" s="149"/>
      <c r="N758" s="5"/>
      <c r="O758" s="5"/>
      <c r="P758" s="5"/>
    </row>
    <row r="759">
      <c r="G759" s="5"/>
      <c r="H759" s="5"/>
      <c r="I759" s="5"/>
      <c r="J759" s="5"/>
      <c r="K759" s="5"/>
      <c r="L759" s="5"/>
      <c r="M759" s="149"/>
      <c r="N759" s="5"/>
      <c r="O759" s="5"/>
      <c r="P759" s="5"/>
    </row>
    <row r="760">
      <c r="G760" s="5"/>
      <c r="H760" s="5"/>
      <c r="I760" s="5"/>
      <c r="J760" s="5"/>
      <c r="K760" s="5"/>
      <c r="L760" s="5"/>
      <c r="M760" s="149"/>
      <c r="N760" s="5"/>
      <c r="O760" s="5"/>
      <c r="P760" s="5"/>
    </row>
    <row r="761">
      <c r="G761" s="5"/>
      <c r="H761" s="5"/>
      <c r="I761" s="5"/>
      <c r="J761" s="5"/>
      <c r="K761" s="5"/>
      <c r="L761" s="5"/>
      <c r="M761" s="149"/>
      <c r="N761" s="5"/>
      <c r="O761" s="5"/>
      <c r="P761" s="5"/>
    </row>
    <row r="762">
      <c r="G762" s="5"/>
      <c r="H762" s="5"/>
      <c r="I762" s="5"/>
      <c r="J762" s="5"/>
      <c r="K762" s="5"/>
      <c r="L762" s="5"/>
      <c r="M762" s="149"/>
      <c r="N762" s="5"/>
      <c r="O762" s="5"/>
      <c r="P762" s="5"/>
    </row>
    <row r="763">
      <c r="G763" s="5"/>
      <c r="H763" s="5"/>
      <c r="I763" s="5"/>
      <c r="J763" s="5"/>
      <c r="K763" s="5"/>
      <c r="L763" s="5"/>
      <c r="M763" s="149"/>
      <c r="N763" s="5"/>
      <c r="O763" s="5"/>
      <c r="P763" s="5"/>
    </row>
    <row r="764">
      <c r="G764" s="5"/>
      <c r="H764" s="5"/>
      <c r="I764" s="5"/>
      <c r="J764" s="5"/>
      <c r="K764" s="5"/>
      <c r="L764" s="5"/>
      <c r="M764" s="149"/>
      <c r="N764" s="5"/>
      <c r="O764" s="5"/>
      <c r="P764" s="5"/>
    </row>
    <row r="765">
      <c r="G765" s="5"/>
      <c r="H765" s="5"/>
      <c r="I765" s="5"/>
      <c r="J765" s="5"/>
      <c r="K765" s="5"/>
      <c r="L765" s="5"/>
      <c r="M765" s="149"/>
      <c r="N765" s="5"/>
      <c r="O765" s="5"/>
      <c r="P765" s="5"/>
    </row>
    <row r="766">
      <c r="G766" s="5"/>
      <c r="H766" s="5"/>
      <c r="I766" s="5"/>
      <c r="J766" s="5"/>
      <c r="K766" s="5"/>
      <c r="L766" s="5"/>
      <c r="M766" s="149"/>
      <c r="N766" s="5"/>
      <c r="O766" s="5"/>
      <c r="P766" s="5"/>
    </row>
    <row r="767">
      <c r="G767" s="5"/>
      <c r="H767" s="5"/>
      <c r="I767" s="5"/>
      <c r="J767" s="5"/>
      <c r="K767" s="5"/>
      <c r="L767" s="5"/>
      <c r="M767" s="149"/>
      <c r="N767" s="5"/>
      <c r="O767" s="5"/>
      <c r="P767" s="5"/>
    </row>
    <row r="768">
      <c r="G768" s="5"/>
      <c r="H768" s="5"/>
      <c r="I768" s="5"/>
      <c r="J768" s="5"/>
      <c r="K768" s="5"/>
      <c r="L768" s="5"/>
      <c r="M768" s="149"/>
      <c r="N768" s="5"/>
      <c r="O768" s="5"/>
      <c r="P768" s="5"/>
    </row>
    <row r="769">
      <c r="G769" s="5"/>
      <c r="H769" s="5"/>
      <c r="I769" s="5"/>
      <c r="J769" s="5"/>
      <c r="K769" s="5"/>
      <c r="L769" s="5"/>
      <c r="M769" s="149"/>
      <c r="N769" s="5"/>
      <c r="O769" s="5"/>
      <c r="P769" s="5"/>
    </row>
    <row r="770">
      <c r="G770" s="5"/>
      <c r="H770" s="5"/>
      <c r="I770" s="5"/>
      <c r="J770" s="5"/>
      <c r="K770" s="5"/>
      <c r="L770" s="5"/>
      <c r="M770" s="149"/>
      <c r="N770" s="5"/>
      <c r="O770" s="5"/>
      <c r="P770" s="5"/>
    </row>
    <row r="771">
      <c r="G771" s="5"/>
      <c r="H771" s="5"/>
      <c r="I771" s="5"/>
      <c r="J771" s="5"/>
      <c r="K771" s="5"/>
      <c r="L771" s="5"/>
      <c r="M771" s="149"/>
      <c r="N771" s="5"/>
      <c r="O771" s="5"/>
      <c r="P771" s="5"/>
    </row>
    <row r="772">
      <c r="G772" s="5"/>
      <c r="H772" s="5"/>
      <c r="I772" s="5"/>
      <c r="J772" s="5"/>
      <c r="K772" s="5"/>
      <c r="L772" s="5"/>
      <c r="M772" s="149"/>
      <c r="N772" s="5"/>
      <c r="O772" s="5"/>
      <c r="P772" s="5"/>
    </row>
    <row r="773">
      <c r="G773" s="5"/>
      <c r="H773" s="5"/>
      <c r="I773" s="5"/>
      <c r="J773" s="5"/>
      <c r="K773" s="5"/>
      <c r="L773" s="5"/>
      <c r="M773" s="149"/>
      <c r="N773" s="5"/>
      <c r="O773" s="5"/>
      <c r="P773" s="5"/>
    </row>
    <row r="774">
      <c r="G774" s="5"/>
      <c r="H774" s="5"/>
      <c r="I774" s="5"/>
      <c r="J774" s="5"/>
      <c r="K774" s="5"/>
      <c r="L774" s="5"/>
      <c r="M774" s="149"/>
      <c r="N774" s="5"/>
      <c r="O774" s="5"/>
      <c r="P774" s="5"/>
    </row>
    <row r="775">
      <c r="G775" s="5"/>
      <c r="H775" s="5"/>
      <c r="I775" s="5"/>
      <c r="J775" s="5"/>
      <c r="K775" s="5"/>
      <c r="L775" s="5"/>
      <c r="M775" s="149"/>
      <c r="N775" s="5"/>
      <c r="O775" s="5"/>
      <c r="P775" s="5"/>
    </row>
    <row r="776">
      <c r="G776" s="5"/>
      <c r="H776" s="5"/>
      <c r="I776" s="5"/>
      <c r="J776" s="5"/>
      <c r="K776" s="5"/>
      <c r="L776" s="5"/>
      <c r="M776" s="149"/>
      <c r="N776" s="5"/>
      <c r="O776" s="5"/>
      <c r="P776" s="5"/>
    </row>
    <row r="777">
      <c r="G777" s="5"/>
      <c r="H777" s="5"/>
      <c r="I777" s="5"/>
      <c r="J777" s="5"/>
      <c r="K777" s="5"/>
      <c r="L777" s="5"/>
      <c r="M777" s="149"/>
      <c r="N777" s="5"/>
      <c r="O777" s="5"/>
      <c r="P777" s="5"/>
    </row>
    <row r="778">
      <c r="G778" s="5"/>
      <c r="H778" s="5"/>
      <c r="I778" s="5"/>
      <c r="J778" s="5"/>
      <c r="K778" s="5"/>
      <c r="L778" s="5"/>
      <c r="M778" s="149"/>
      <c r="N778" s="5"/>
      <c r="O778" s="5"/>
      <c r="P778" s="5"/>
    </row>
    <row r="779">
      <c r="G779" s="5"/>
      <c r="H779" s="5"/>
      <c r="I779" s="5"/>
      <c r="J779" s="5"/>
      <c r="K779" s="5"/>
      <c r="L779" s="5"/>
      <c r="M779" s="149"/>
      <c r="N779" s="5"/>
      <c r="O779" s="5"/>
      <c r="P779" s="5"/>
    </row>
    <row r="780">
      <c r="G780" s="5"/>
      <c r="H780" s="5"/>
      <c r="I780" s="5"/>
      <c r="J780" s="5"/>
      <c r="K780" s="5"/>
      <c r="L780" s="5"/>
      <c r="M780" s="149"/>
      <c r="N780" s="5"/>
      <c r="O780" s="5"/>
      <c r="P780" s="5"/>
    </row>
    <row r="781">
      <c r="G781" s="5"/>
      <c r="H781" s="5"/>
      <c r="I781" s="5"/>
      <c r="J781" s="5"/>
      <c r="K781" s="5"/>
      <c r="L781" s="5"/>
      <c r="M781" s="149"/>
      <c r="N781" s="5"/>
      <c r="O781" s="5"/>
      <c r="P781" s="5"/>
    </row>
    <row r="782">
      <c r="G782" s="5"/>
      <c r="H782" s="5"/>
      <c r="I782" s="5"/>
      <c r="J782" s="5"/>
      <c r="K782" s="5"/>
      <c r="L782" s="5"/>
      <c r="M782" s="149"/>
      <c r="N782" s="5"/>
      <c r="O782" s="5"/>
      <c r="P782" s="5"/>
    </row>
    <row r="783">
      <c r="G783" s="5"/>
      <c r="H783" s="5"/>
      <c r="I783" s="5"/>
      <c r="J783" s="5"/>
      <c r="K783" s="5"/>
      <c r="L783" s="5"/>
      <c r="M783" s="149"/>
      <c r="N783" s="5"/>
      <c r="O783" s="5"/>
      <c r="P783" s="5"/>
    </row>
    <row r="784">
      <c r="G784" s="5"/>
      <c r="H784" s="5"/>
      <c r="I784" s="5"/>
      <c r="J784" s="5"/>
      <c r="K784" s="5"/>
      <c r="L784" s="5"/>
      <c r="M784" s="149"/>
      <c r="N784" s="5"/>
      <c r="O784" s="5"/>
      <c r="P784" s="5"/>
    </row>
    <row r="785">
      <c r="G785" s="5"/>
      <c r="H785" s="5"/>
      <c r="I785" s="5"/>
      <c r="J785" s="5"/>
      <c r="K785" s="5"/>
      <c r="L785" s="5"/>
      <c r="M785" s="149"/>
      <c r="N785" s="5"/>
      <c r="O785" s="5"/>
      <c r="P785" s="5"/>
    </row>
    <row r="786">
      <c r="G786" s="5"/>
      <c r="H786" s="5"/>
      <c r="I786" s="5"/>
      <c r="J786" s="5"/>
      <c r="K786" s="5"/>
      <c r="L786" s="5"/>
      <c r="M786" s="149"/>
      <c r="N786" s="5"/>
      <c r="O786" s="5"/>
      <c r="P786" s="5"/>
    </row>
    <row r="787">
      <c r="G787" s="5"/>
      <c r="H787" s="5"/>
      <c r="I787" s="5"/>
      <c r="J787" s="5"/>
      <c r="K787" s="5"/>
      <c r="L787" s="5"/>
      <c r="M787" s="149"/>
      <c r="N787" s="5"/>
      <c r="O787" s="5"/>
      <c r="P787" s="5"/>
    </row>
    <row r="788">
      <c r="G788" s="5"/>
      <c r="H788" s="5"/>
      <c r="I788" s="5"/>
      <c r="J788" s="5"/>
      <c r="K788" s="5"/>
      <c r="L788" s="5"/>
      <c r="M788" s="149"/>
      <c r="N788" s="5"/>
      <c r="O788" s="5"/>
      <c r="P788" s="5"/>
    </row>
    <row r="789">
      <c r="G789" s="5"/>
      <c r="H789" s="5"/>
      <c r="I789" s="5"/>
      <c r="J789" s="5"/>
      <c r="K789" s="5"/>
      <c r="L789" s="5"/>
      <c r="M789" s="149"/>
      <c r="N789" s="5"/>
      <c r="O789" s="5"/>
      <c r="P789" s="5"/>
    </row>
    <row r="790">
      <c r="G790" s="5"/>
      <c r="H790" s="5"/>
      <c r="I790" s="5"/>
      <c r="J790" s="5"/>
      <c r="K790" s="5"/>
      <c r="L790" s="5"/>
      <c r="M790" s="149"/>
      <c r="N790" s="5"/>
      <c r="O790" s="5"/>
      <c r="P790" s="5"/>
    </row>
    <row r="791">
      <c r="G791" s="5"/>
      <c r="H791" s="5"/>
      <c r="I791" s="5"/>
      <c r="J791" s="5"/>
      <c r="K791" s="5"/>
      <c r="L791" s="5"/>
      <c r="M791" s="149"/>
      <c r="N791" s="5"/>
      <c r="O791" s="5"/>
      <c r="P791" s="5"/>
    </row>
    <row r="792">
      <c r="G792" s="5"/>
      <c r="H792" s="5"/>
      <c r="I792" s="5"/>
      <c r="J792" s="5"/>
      <c r="K792" s="5"/>
      <c r="L792" s="5"/>
      <c r="M792" s="149"/>
      <c r="N792" s="5"/>
      <c r="O792" s="5"/>
      <c r="P792" s="5"/>
    </row>
    <row r="793">
      <c r="G793" s="5"/>
      <c r="H793" s="5"/>
      <c r="I793" s="5"/>
      <c r="J793" s="5"/>
      <c r="K793" s="5"/>
      <c r="L793" s="5"/>
      <c r="M793" s="149"/>
      <c r="N793" s="5"/>
      <c r="O793" s="5"/>
      <c r="P793" s="5"/>
    </row>
    <row r="794">
      <c r="G794" s="5"/>
      <c r="H794" s="5"/>
      <c r="I794" s="5"/>
      <c r="J794" s="5"/>
      <c r="K794" s="5"/>
      <c r="L794" s="5"/>
      <c r="M794" s="149"/>
      <c r="N794" s="5"/>
      <c r="O794" s="5"/>
      <c r="P794" s="5"/>
    </row>
    <row r="795">
      <c r="G795" s="5"/>
      <c r="H795" s="5"/>
      <c r="I795" s="5"/>
      <c r="J795" s="5"/>
      <c r="K795" s="5"/>
      <c r="L795" s="5"/>
      <c r="M795" s="149"/>
      <c r="N795" s="5"/>
      <c r="O795" s="5"/>
      <c r="P795" s="5"/>
    </row>
    <row r="796">
      <c r="G796" s="5"/>
      <c r="H796" s="5"/>
      <c r="I796" s="5"/>
      <c r="J796" s="5"/>
      <c r="K796" s="5"/>
      <c r="L796" s="5"/>
      <c r="M796" s="149"/>
      <c r="N796" s="5"/>
      <c r="O796" s="5"/>
      <c r="P796" s="5"/>
    </row>
    <row r="797">
      <c r="G797" s="5"/>
      <c r="H797" s="5"/>
      <c r="I797" s="5"/>
      <c r="J797" s="5"/>
      <c r="K797" s="5"/>
      <c r="L797" s="5"/>
      <c r="M797" s="149"/>
      <c r="N797" s="5"/>
      <c r="O797" s="5"/>
      <c r="P797" s="5"/>
    </row>
    <row r="798">
      <c r="G798" s="5"/>
      <c r="H798" s="5"/>
      <c r="I798" s="5"/>
      <c r="J798" s="5"/>
      <c r="K798" s="5"/>
      <c r="L798" s="5"/>
      <c r="M798" s="149"/>
      <c r="N798" s="5"/>
      <c r="O798" s="5"/>
      <c r="P798" s="5"/>
    </row>
    <row r="799">
      <c r="G799" s="5"/>
      <c r="H799" s="5"/>
      <c r="I799" s="5"/>
      <c r="J799" s="5"/>
      <c r="K799" s="5"/>
      <c r="L799" s="5"/>
      <c r="M799" s="149"/>
      <c r="N799" s="5"/>
      <c r="O799" s="5"/>
      <c r="P799" s="5"/>
    </row>
    <row r="800">
      <c r="G800" s="5"/>
      <c r="H800" s="5"/>
      <c r="I800" s="5"/>
      <c r="J800" s="5"/>
      <c r="K800" s="5"/>
      <c r="L800" s="5"/>
      <c r="M800" s="149"/>
      <c r="N800" s="5"/>
      <c r="O800" s="5"/>
      <c r="P800" s="5"/>
    </row>
    <row r="801">
      <c r="G801" s="5"/>
      <c r="H801" s="5"/>
      <c r="I801" s="5"/>
      <c r="J801" s="5"/>
      <c r="K801" s="5"/>
      <c r="L801" s="5"/>
      <c r="M801" s="149"/>
      <c r="N801" s="5"/>
      <c r="O801" s="5"/>
      <c r="P801" s="5"/>
    </row>
    <row r="802">
      <c r="G802" s="5"/>
      <c r="H802" s="5"/>
      <c r="I802" s="5"/>
      <c r="J802" s="5"/>
      <c r="K802" s="5"/>
      <c r="L802" s="5"/>
      <c r="M802" s="149"/>
      <c r="N802" s="5"/>
      <c r="O802" s="5"/>
      <c r="P802" s="5"/>
    </row>
    <row r="803">
      <c r="G803" s="5"/>
      <c r="H803" s="5"/>
      <c r="I803" s="5"/>
      <c r="J803" s="5"/>
      <c r="K803" s="5"/>
      <c r="L803" s="5"/>
      <c r="M803" s="149"/>
      <c r="N803" s="5"/>
      <c r="O803" s="5"/>
      <c r="P803" s="5"/>
    </row>
    <row r="804">
      <c r="G804" s="5"/>
      <c r="H804" s="5"/>
      <c r="I804" s="5"/>
      <c r="J804" s="5"/>
      <c r="K804" s="5"/>
      <c r="L804" s="5"/>
      <c r="M804" s="149"/>
      <c r="N804" s="5"/>
      <c r="O804" s="5"/>
      <c r="P804" s="5"/>
    </row>
    <row r="805">
      <c r="G805" s="5"/>
      <c r="H805" s="5"/>
      <c r="I805" s="5"/>
      <c r="J805" s="5"/>
      <c r="K805" s="5"/>
      <c r="L805" s="5"/>
      <c r="M805" s="149"/>
      <c r="N805" s="5"/>
      <c r="O805" s="5"/>
      <c r="P805" s="5"/>
    </row>
    <row r="806">
      <c r="G806" s="5"/>
      <c r="H806" s="5"/>
      <c r="I806" s="5"/>
      <c r="J806" s="5"/>
      <c r="K806" s="5"/>
      <c r="L806" s="5"/>
      <c r="M806" s="149"/>
      <c r="N806" s="5"/>
      <c r="O806" s="5"/>
      <c r="P806" s="5"/>
    </row>
    <row r="807">
      <c r="G807" s="5"/>
      <c r="H807" s="5"/>
      <c r="I807" s="5"/>
      <c r="J807" s="5"/>
      <c r="K807" s="5"/>
      <c r="L807" s="5"/>
      <c r="M807" s="149"/>
      <c r="N807" s="5"/>
      <c r="O807" s="5"/>
      <c r="P807" s="5"/>
    </row>
    <row r="808">
      <c r="G808" s="5"/>
      <c r="H808" s="5"/>
      <c r="I808" s="5"/>
      <c r="J808" s="5"/>
      <c r="K808" s="5"/>
      <c r="L808" s="5"/>
      <c r="M808" s="149"/>
      <c r="N808" s="5"/>
      <c r="O808" s="5"/>
      <c r="P808" s="5"/>
    </row>
    <row r="809">
      <c r="G809" s="5"/>
      <c r="H809" s="5"/>
      <c r="I809" s="5"/>
      <c r="J809" s="5"/>
      <c r="K809" s="5"/>
      <c r="L809" s="5"/>
      <c r="M809" s="149"/>
      <c r="N809" s="5"/>
      <c r="O809" s="5"/>
      <c r="P809" s="5"/>
    </row>
    <row r="810">
      <c r="G810" s="5"/>
      <c r="H810" s="5"/>
      <c r="I810" s="5"/>
      <c r="J810" s="5"/>
      <c r="K810" s="5"/>
      <c r="L810" s="5"/>
      <c r="M810" s="149"/>
      <c r="N810" s="5"/>
      <c r="O810" s="5"/>
      <c r="P810" s="5"/>
    </row>
    <row r="811">
      <c r="G811" s="5"/>
      <c r="H811" s="5"/>
      <c r="I811" s="5"/>
      <c r="J811" s="5"/>
      <c r="K811" s="5"/>
      <c r="L811" s="5"/>
      <c r="M811" s="149"/>
      <c r="N811" s="5"/>
      <c r="O811" s="5"/>
      <c r="P811" s="5"/>
    </row>
    <row r="812">
      <c r="G812" s="5"/>
      <c r="H812" s="5"/>
      <c r="I812" s="5"/>
      <c r="J812" s="5"/>
      <c r="K812" s="5"/>
      <c r="L812" s="5"/>
      <c r="M812" s="149"/>
      <c r="N812" s="5"/>
      <c r="O812" s="5"/>
      <c r="P812" s="5"/>
    </row>
    <row r="813">
      <c r="G813" s="5"/>
      <c r="H813" s="5"/>
      <c r="I813" s="5"/>
      <c r="J813" s="5"/>
      <c r="K813" s="5"/>
      <c r="L813" s="5"/>
      <c r="M813" s="149"/>
      <c r="N813" s="5"/>
      <c r="O813" s="5"/>
      <c r="P813" s="5"/>
    </row>
    <row r="814">
      <c r="G814" s="5"/>
      <c r="H814" s="5"/>
      <c r="I814" s="5"/>
      <c r="J814" s="5"/>
      <c r="K814" s="5"/>
      <c r="L814" s="5"/>
      <c r="M814" s="149"/>
      <c r="N814" s="5"/>
      <c r="O814" s="5"/>
      <c r="P814" s="5"/>
    </row>
    <row r="815">
      <c r="G815" s="5"/>
      <c r="H815" s="5"/>
      <c r="I815" s="5"/>
      <c r="J815" s="5"/>
      <c r="K815" s="5"/>
      <c r="L815" s="5"/>
      <c r="M815" s="149"/>
      <c r="N815" s="5"/>
      <c r="O815" s="5"/>
      <c r="P815" s="5"/>
    </row>
    <row r="816">
      <c r="G816" s="5"/>
      <c r="H816" s="5"/>
      <c r="I816" s="5"/>
      <c r="J816" s="5"/>
      <c r="K816" s="5"/>
      <c r="L816" s="5"/>
      <c r="M816" s="149"/>
      <c r="N816" s="5"/>
      <c r="O816" s="5"/>
      <c r="P816" s="5"/>
    </row>
    <row r="817">
      <c r="G817" s="5"/>
      <c r="H817" s="5"/>
      <c r="I817" s="5"/>
      <c r="J817" s="5"/>
      <c r="K817" s="5"/>
      <c r="L817" s="5"/>
      <c r="M817" s="149"/>
      <c r="N817" s="5"/>
      <c r="O817" s="5"/>
      <c r="P817" s="5"/>
    </row>
    <row r="818">
      <c r="G818" s="5"/>
      <c r="H818" s="5"/>
      <c r="I818" s="5"/>
      <c r="J818" s="5"/>
      <c r="K818" s="5"/>
      <c r="L818" s="5"/>
      <c r="M818" s="149"/>
      <c r="N818" s="5"/>
      <c r="O818" s="5"/>
      <c r="P818" s="5"/>
    </row>
    <row r="819">
      <c r="G819" s="5"/>
      <c r="H819" s="5"/>
      <c r="I819" s="5"/>
      <c r="J819" s="5"/>
      <c r="K819" s="5"/>
      <c r="L819" s="5"/>
      <c r="M819" s="149"/>
      <c r="N819" s="5"/>
      <c r="O819" s="5"/>
      <c r="P819" s="5"/>
    </row>
    <row r="820">
      <c r="G820" s="5"/>
      <c r="H820" s="5"/>
      <c r="I820" s="5"/>
      <c r="J820" s="5"/>
      <c r="K820" s="5"/>
      <c r="L820" s="5"/>
      <c r="M820" s="149"/>
      <c r="N820" s="5"/>
      <c r="O820" s="5"/>
      <c r="P820" s="5"/>
    </row>
    <row r="821">
      <c r="G821" s="5"/>
      <c r="H821" s="5"/>
      <c r="I821" s="5"/>
      <c r="J821" s="5"/>
      <c r="K821" s="5"/>
      <c r="L821" s="5"/>
      <c r="M821" s="149"/>
      <c r="N821" s="5"/>
      <c r="O821" s="5"/>
      <c r="P821" s="5"/>
    </row>
    <row r="822">
      <c r="G822" s="5"/>
      <c r="H822" s="5"/>
      <c r="I822" s="5"/>
      <c r="J822" s="5"/>
      <c r="K822" s="5"/>
      <c r="L822" s="5"/>
      <c r="M822" s="149"/>
      <c r="N822" s="5"/>
      <c r="O822" s="5"/>
      <c r="P822" s="5"/>
    </row>
    <row r="823">
      <c r="G823" s="5"/>
      <c r="H823" s="5"/>
      <c r="I823" s="5"/>
      <c r="J823" s="5"/>
      <c r="K823" s="5"/>
      <c r="L823" s="5"/>
      <c r="M823" s="149"/>
      <c r="N823" s="5"/>
      <c r="O823" s="5"/>
      <c r="P823" s="5"/>
    </row>
    <row r="824">
      <c r="G824" s="5"/>
      <c r="H824" s="5"/>
      <c r="I824" s="5"/>
      <c r="J824" s="5"/>
      <c r="K824" s="5"/>
      <c r="L824" s="5"/>
      <c r="M824" s="149"/>
      <c r="N824" s="5"/>
      <c r="O824" s="5"/>
      <c r="P824" s="5"/>
    </row>
    <row r="825">
      <c r="G825" s="5"/>
      <c r="H825" s="5"/>
      <c r="I825" s="5"/>
      <c r="J825" s="5"/>
      <c r="K825" s="5"/>
      <c r="L825" s="5"/>
      <c r="M825" s="149"/>
      <c r="N825" s="5"/>
      <c r="O825" s="5"/>
      <c r="P825" s="5"/>
    </row>
    <row r="826">
      <c r="G826" s="5"/>
      <c r="H826" s="5"/>
      <c r="I826" s="5"/>
      <c r="J826" s="5"/>
      <c r="K826" s="5"/>
      <c r="L826" s="5"/>
      <c r="M826" s="149"/>
      <c r="N826" s="5"/>
      <c r="O826" s="5"/>
      <c r="P826" s="5"/>
    </row>
    <row r="827">
      <c r="G827" s="5"/>
      <c r="H827" s="5"/>
      <c r="I827" s="5"/>
      <c r="J827" s="5"/>
      <c r="K827" s="5"/>
      <c r="L827" s="5"/>
      <c r="M827" s="149"/>
      <c r="N827" s="5"/>
      <c r="O827" s="5"/>
      <c r="P827" s="5"/>
    </row>
    <row r="828">
      <c r="G828" s="5"/>
      <c r="H828" s="5"/>
      <c r="I828" s="5"/>
      <c r="J828" s="5"/>
      <c r="K828" s="5"/>
      <c r="L828" s="5"/>
      <c r="M828" s="149"/>
      <c r="N828" s="5"/>
      <c r="O828" s="5"/>
      <c r="P828" s="5"/>
    </row>
    <row r="829">
      <c r="G829" s="5"/>
      <c r="H829" s="5"/>
      <c r="I829" s="5"/>
      <c r="J829" s="5"/>
      <c r="K829" s="5"/>
      <c r="L829" s="5"/>
      <c r="M829" s="149"/>
      <c r="N829" s="5"/>
      <c r="O829" s="5"/>
      <c r="P829" s="5"/>
    </row>
    <row r="830">
      <c r="G830" s="5"/>
      <c r="H830" s="5"/>
      <c r="I830" s="5"/>
      <c r="J830" s="5"/>
      <c r="K830" s="5"/>
      <c r="L830" s="5"/>
      <c r="M830" s="149"/>
      <c r="N830" s="5"/>
      <c r="O830" s="5"/>
      <c r="P830" s="5"/>
    </row>
    <row r="831">
      <c r="G831" s="5"/>
      <c r="H831" s="5"/>
      <c r="I831" s="5"/>
      <c r="J831" s="5"/>
      <c r="K831" s="5"/>
      <c r="L831" s="5"/>
      <c r="M831" s="149"/>
      <c r="N831" s="5"/>
      <c r="O831" s="5"/>
      <c r="P831" s="5"/>
    </row>
    <row r="832">
      <c r="G832" s="5"/>
      <c r="H832" s="5"/>
      <c r="I832" s="5"/>
      <c r="J832" s="5"/>
      <c r="K832" s="5"/>
      <c r="L832" s="5"/>
      <c r="M832" s="149"/>
      <c r="N832" s="5"/>
      <c r="O832" s="5"/>
      <c r="P832" s="5"/>
    </row>
    <row r="833">
      <c r="G833" s="5"/>
      <c r="H833" s="5"/>
      <c r="I833" s="5"/>
      <c r="J833" s="5"/>
      <c r="K833" s="5"/>
      <c r="L833" s="5"/>
      <c r="M833" s="149"/>
      <c r="N833" s="5"/>
      <c r="O833" s="5"/>
      <c r="P833" s="5"/>
    </row>
    <row r="834">
      <c r="G834" s="5"/>
      <c r="H834" s="5"/>
      <c r="I834" s="5"/>
      <c r="J834" s="5"/>
      <c r="K834" s="5"/>
      <c r="L834" s="5"/>
      <c r="M834" s="149"/>
      <c r="N834" s="5"/>
      <c r="O834" s="5"/>
      <c r="P834" s="5"/>
    </row>
    <row r="835">
      <c r="G835" s="5"/>
      <c r="H835" s="5"/>
      <c r="I835" s="5"/>
      <c r="J835" s="5"/>
      <c r="K835" s="5"/>
      <c r="L835" s="5"/>
      <c r="M835" s="149"/>
      <c r="N835" s="5"/>
      <c r="O835" s="5"/>
      <c r="P835" s="5"/>
    </row>
    <row r="836">
      <c r="G836" s="5"/>
      <c r="H836" s="5"/>
      <c r="I836" s="5"/>
      <c r="J836" s="5"/>
      <c r="K836" s="5"/>
      <c r="L836" s="5"/>
      <c r="M836" s="149"/>
      <c r="N836" s="5"/>
      <c r="O836" s="5"/>
      <c r="P836" s="5"/>
    </row>
    <row r="837">
      <c r="G837" s="5"/>
      <c r="H837" s="5"/>
      <c r="I837" s="5"/>
      <c r="J837" s="5"/>
      <c r="K837" s="5"/>
      <c r="L837" s="5"/>
      <c r="M837" s="149"/>
      <c r="N837" s="5"/>
      <c r="O837" s="5"/>
      <c r="P837" s="5"/>
    </row>
    <row r="838">
      <c r="G838" s="5"/>
      <c r="H838" s="5"/>
      <c r="I838" s="5"/>
      <c r="J838" s="5"/>
      <c r="K838" s="5"/>
      <c r="L838" s="5"/>
      <c r="M838" s="149"/>
      <c r="N838" s="5"/>
      <c r="O838" s="5"/>
      <c r="P838" s="5"/>
    </row>
    <row r="839">
      <c r="G839" s="5"/>
      <c r="H839" s="5"/>
      <c r="I839" s="5"/>
      <c r="J839" s="5"/>
      <c r="K839" s="5"/>
      <c r="L839" s="5"/>
      <c r="M839" s="149"/>
      <c r="N839" s="5"/>
      <c r="O839" s="5"/>
      <c r="P839" s="5"/>
    </row>
    <row r="840">
      <c r="G840" s="5"/>
      <c r="H840" s="5"/>
      <c r="I840" s="5"/>
      <c r="J840" s="5"/>
      <c r="K840" s="5"/>
      <c r="L840" s="5"/>
      <c r="M840" s="149"/>
      <c r="N840" s="5"/>
      <c r="O840" s="5"/>
      <c r="P840" s="5"/>
    </row>
    <row r="841">
      <c r="G841" s="5"/>
      <c r="H841" s="5"/>
      <c r="I841" s="5"/>
      <c r="J841" s="5"/>
      <c r="K841" s="5"/>
      <c r="L841" s="5"/>
      <c r="M841" s="149"/>
      <c r="N841" s="5"/>
      <c r="O841" s="5"/>
      <c r="P841" s="5"/>
    </row>
    <row r="842">
      <c r="G842" s="5"/>
      <c r="H842" s="5"/>
      <c r="I842" s="5"/>
      <c r="J842" s="5"/>
      <c r="K842" s="5"/>
      <c r="L842" s="5"/>
      <c r="M842" s="149"/>
      <c r="N842" s="5"/>
      <c r="O842" s="5"/>
      <c r="P842" s="5"/>
    </row>
    <row r="843">
      <c r="G843" s="5"/>
      <c r="H843" s="5"/>
      <c r="I843" s="5"/>
      <c r="J843" s="5"/>
      <c r="K843" s="5"/>
      <c r="L843" s="5"/>
      <c r="M843" s="149"/>
      <c r="N843" s="5"/>
      <c r="O843" s="5"/>
      <c r="P843" s="5"/>
    </row>
    <row r="844">
      <c r="G844" s="5"/>
      <c r="H844" s="5"/>
      <c r="I844" s="5"/>
      <c r="J844" s="5"/>
      <c r="K844" s="5"/>
      <c r="L844" s="5"/>
      <c r="M844" s="149"/>
      <c r="N844" s="5"/>
      <c r="O844" s="5"/>
      <c r="P844" s="5"/>
    </row>
    <row r="845">
      <c r="G845" s="5"/>
      <c r="H845" s="5"/>
      <c r="I845" s="5"/>
      <c r="J845" s="5"/>
      <c r="K845" s="5"/>
      <c r="L845" s="5"/>
      <c r="M845" s="149"/>
      <c r="N845" s="5"/>
      <c r="O845" s="5"/>
      <c r="P845" s="5"/>
    </row>
    <row r="846">
      <c r="G846" s="5"/>
      <c r="H846" s="5"/>
      <c r="I846" s="5"/>
      <c r="J846" s="5"/>
      <c r="K846" s="5"/>
      <c r="L846" s="5"/>
      <c r="M846" s="149"/>
      <c r="N846" s="5"/>
      <c r="O846" s="5"/>
      <c r="P846" s="5"/>
    </row>
    <row r="847">
      <c r="G847" s="5"/>
      <c r="H847" s="5"/>
      <c r="I847" s="5"/>
      <c r="J847" s="5"/>
      <c r="K847" s="5"/>
      <c r="L847" s="5"/>
      <c r="M847" s="149"/>
      <c r="N847" s="5"/>
      <c r="O847" s="5"/>
      <c r="P847" s="5"/>
    </row>
    <row r="848">
      <c r="G848" s="5"/>
      <c r="H848" s="5"/>
      <c r="I848" s="5"/>
      <c r="J848" s="5"/>
      <c r="K848" s="5"/>
      <c r="L848" s="5"/>
      <c r="M848" s="149"/>
      <c r="N848" s="5"/>
      <c r="O848" s="5"/>
      <c r="P848" s="5"/>
    </row>
    <row r="849">
      <c r="G849" s="5"/>
      <c r="H849" s="5"/>
      <c r="I849" s="5"/>
      <c r="J849" s="5"/>
      <c r="K849" s="5"/>
      <c r="L849" s="5"/>
      <c r="M849" s="149"/>
      <c r="N849" s="5"/>
      <c r="O849" s="5"/>
      <c r="P849" s="5"/>
    </row>
    <row r="850">
      <c r="G850" s="5"/>
      <c r="H850" s="5"/>
      <c r="I850" s="5"/>
      <c r="J850" s="5"/>
      <c r="K850" s="5"/>
      <c r="L850" s="5"/>
      <c r="M850" s="149"/>
      <c r="N850" s="5"/>
      <c r="O850" s="5"/>
      <c r="P850" s="5"/>
    </row>
    <row r="851">
      <c r="G851" s="5"/>
      <c r="H851" s="5"/>
      <c r="I851" s="5"/>
      <c r="J851" s="5"/>
      <c r="K851" s="5"/>
      <c r="L851" s="5"/>
      <c r="M851" s="149"/>
      <c r="N851" s="5"/>
      <c r="O851" s="5"/>
      <c r="P851" s="5"/>
    </row>
    <row r="852">
      <c r="G852" s="5"/>
      <c r="H852" s="5"/>
      <c r="I852" s="5"/>
      <c r="J852" s="5"/>
      <c r="K852" s="5"/>
      <c r="L852" s="5"/>
      <c r="M852" s="149"/>
      <c r="N852" s="5"/>
      <c r="O852" s="5"/>
      <c r="P852" s="5"/>
    </row>
    <row r="853">
      <c r="G853" s="5"/>
      <c r="H853" s="5"/>
      <c r="I853" s="5"/>
      <c r="J853" s="5"/>
      <c r="K853" s="5"/>
      <c r="L853" s="5"/>
      <c r="M853" s="149"/>
      <c r="N853" s="5"/>
      <c r="O853" s="5"/>
      <c r="P853" s="5"/>
    </row>
    <row r="854">
      <c r="G854" s="5"/>
      <c r="H854" s="5"/>
      <c r="I854" s="5"/>
      <c r="J854" s="5"/>
      <c r="K854" s="5"/>
      <c r="L854" s="5"/>
      <c r="M854" s="149"/>
      <c r="N854" s="5"/>
      <c r="O854" s="5"/>
      <c r="P854" s="5"/>
    </row>
    <row r="855">
      <c r="G855" s="5"/>
      <c r="H855" s="5"/>
      <c r="I855" s="5"/>
      <c r="J855" s="5"/>
      <c r="K855" s="5"/>
      <c r="L855" s="5"/>
      <c r="M855" s="149"/>
      <c r="N855" s="5"/>
      <c r="O855" s="5"/>
      <c r="P855" s="5"/>
    </row>
    <row r="856">
      <c r="G856" s="5"/>
      <c r="H856" s="5"/>
      <c r="I856" s="5"/>
      <c r="J856" s="5"/>
      <c r="K856" s="5"/>
      <c r="L856" s="5"/>
      <c r="M856" s="149"/>
      <c r="N856" s="5"/>
      <c r="O856" s="5"/>
      <c r="P856" s="5"/>
    </row>
    <row r="857">
      <c r="G857" s="5"/>
      <c r="H857" s="5"/>
      <c r="I857" s="5"/>
      <c r="J857" s="5"/>
      <c r="K857" s="5"/>
      <c r="L857" s="5"/>
      <c r="M857" s="149"/>
      <c r="N857" s="5"/>
      <c r="O857" s="5"/>
      <c r="P857" s="5"/>
    </row>
    <row r="858">
      <c r="G858" s="5"/>
      <c r="H858" s="5"/>
      <c r="I858" s="5"/>
      <c r="J858" s="5"/>
      <c r="K858" s="5"/>
      <c r="L858" s="5"/>
      <c r="M858" s="149"/>
      <c r="N858" s="5"/>
      <c r="O858" s="5"/>
      <c r="P858" s="5"/>
    </row>
    <row r="859">
      <c r="G859" s="5"/>
      <c r="H859" s="5"/>
      <c r="I859" s="5"/>
      <c r="J859" s="5"/>
      <c r="K859" s="5"/>
      <c r="L859" s="5"/>
      <c r="M859" s="149"/>
      <c r="N859" s="5"/>
      <c r="O859" s="5"/>
      <c r="P859" s="5"/>
    </row>
    <row r="860">
      <c r="G860" s="5"/>
      <c r="H860" s="5"/>
      <c r="I860" s="5"/>
      <c r="J860" s="5"/>
      <c r="K860" s="5"/>
      <c r="L860" s="5"/>
      <c r="M860" s="149"/>
      <c r="N860" s="5"/>
      <c r="O860" s="5"/>
      <c r="P860" s="5"/>
    </row>
    <row r="861">
      <c r="G861" s="5"/>
      <c r="H861" s="5"/>
      <c r="I861" s="5"/>
      <c r="J861" s="5"/>
      <c r="K861" s="5"/>
      <c r="L861" s="5"/>
      <c r="M861" s="149"/>
      <c r="N861" s="5"/>
      <c r="O861" s="5"/>
      <c r="P861" s="5"/>
    </row>
    <row r="862">
      <c r="G862" s="5"/>
      <c r="H862" s="5"/>
      <c r="I862" s="5"/>
      <c r="J862" s="5"/>
      <c r="K862" s="5"/>
      <c r="L862" s="5"/>
      <c r="M862" s="149"/>
      <c r="N862" s="5"/>
      <c r="O862" s="5"/>
      <c r="P862" s="5"/>
    </row>
    <row r="863">
      <c r="G863" s="5"/>
      <c r="H863" s="5"/>
      <c r="I863" s="5"/>
      <c r="J863" s="5"/>
      <c r="K863" s="5"/>
      <c r="L863" s="5"/>
      <c r="M863" s="149"/>
      <c r="N863" s="5"/>
      <c r="O863" s="5"/>
      <c r="P863" s="5"/>
    </row>
    <row r="864">
      <c r="G864" s="5"/>
      <c r="H864" s="5"/>
      <c r="I864" s="5"/>
      <c r="J864" s="5"/>
      <c r="K864" s="5"/>
      <c r="L864" s="5"/>
      <c r="M864" s="149"/>
      <c r="N864" s="5"/>
      <c r="O864" s="5"/>
      <c r="P864" s="5"/>
    </row>
    <row r="865">
      <c r="G865" s="5"/>
      <c r="H865" s="5"/>
      <c r="I865" s="5"/>
      <c r="J865" s="5"/>
      <c r="K865" s="5"/>
      <c r="L865" s="5"/>
      <c r="M865" s="149"/>
      <c r="N865" s="5"/>
      <c r="O865" s="5"/>
      <c r="P865" s="5"/>
    </row>
    <row r="866">
      <c r="G866" s="5"/>
      <c r="H866" s="5"/>
      <c r="I866" s="5"/>
      <c r="J866" s="5"/>
      <c r="K866" s="5"/>
      <c r="L866" s="5"/>
      <c r="M866" s="149"/>
      <c r="N866" s="5"/>
      <c r="O866" s="5"/>
      <c r="P866" s="5"/>
    </row>
    <row r="867">
      <c r="G867" s="5"/>
      <c r="H867" s="5"/>
      <c r="I867" s="5"/>
      <c r="J867" s="5"/>
      <c r="K867" s="5"/>
      <c r="L867" s="5"/>
      <c r="M867" s="149"/>
      <c r="N867" s="5"/>
      <c r="O867" s="5"/>
      <c r="P867" s="5"/>
    </row>
    <row r="868">
      <c r="G868" s="5"/>
      <c r="H868" s="5"/>
      <c r="I868" s="5"/>
      <c r="J868" s="5"/>
      <c r="K868" s="5"/>
      <c r="L868" s="5"/>
      <c r="M868" s="149"/>
      <c r="N868" s="5"/>
      <c r="O868" s="5"/>
      <c r="P868" s="5"/>
    </row>
    <row r="869">
      <c r="G869" s="5"/>
      <c r="H869" s="5"/>
      <c r="I869" s="5"/>
      <c r="J869" s="5"/>
      <c r="K869" s="5"/>
      <c r="L869" s="5"/>
      <c r="M869" s="149"/>
      <c r="N869" s="5"/>
      <c r="O869" s="5"/>
      <c r="P869" s="5"/>
    </row>
    <row r="870">
      <c r="G870" s="5"/>
      <c r="H870" s="5"/>
      <c r="I870" s="5"/>
      <c r="J870" s="5"/>
      <c r="K870" s="5"/>
      <c r="L870" s="5"/>
      <c r="M870" s="149"/>
      <c r="N870" s="5"/>
      <c r="O870" s="5"/>
      <c r="P870" s="5"/>
    </row>
    <row r="871">
      <c r="G871" s="5"/>
      <c r="H871" s="5"/>
      <c r="I871" s="5"/>
      <c r="J871" s="5"/>
      <c r="K871" s="5"/>
      <c r="L871" s="5"/>
      <c r="M871" s="149"/>
      <c r="N871" s="5"/>
      <c r="O871" s="5"/>
      <c r="P871" s="5"/>
    </row>
    <row r="872">
      <c r="G872" s="5"/>
      <c r="H872" s="5"/>
      <c r="I872" s="5"/>
      <c r="J872" s="5"/>
      <c r="K872" s="5"/>
      <c r="L872" s="5"/>
      <c r="M872" s="149"/>
      <c r="N872" s="5"/>
      <c r="O872" s="5"/>
      <c r="P872" s="5"/>
    </row>
    <row r="873">
      <c r="G873" s="5"/>
      <c r="H873" s="5"/>
      <c r="I873" s="5"/>
      <c r="J873" s="5"/>
      <c r="K873" s="5"/>
      <c r="L873" s="5"/>
      <c r="M873" s="149"/>
      <c r="N873" s="5"/>
      <c r="O873" s="5"/>
      <c r="P873" s="5"/>
    </row>
    <row r="874">
      <c r="G874" s="5"/>
      <c r="H874" s="5"/>
      <c r="I874" s="5"/>
      <c r="J874" s="5"/>
      <c r="K874" s="5"/>
      <c r="L874" s="5"/>
      <c r="M874" s="149"/>
      <c r="N874" s="5"/>
      <c r="O874" s="5"/>
      <c r="P874" s="5"/>
    </row>
    <row r="875">
      <c r="G875" s="5"/>
      <c r="H875" s="5"/>
      <c r="I875" s="5"/>
      <c r="J875" s="5"/>
      <c r="K875" s="5"/>
      <c r="L875" s="5"/>
      <c r="M875" s="149"/>
      <c r="N875" s="5"/>
      <c r="O875" s="5"/>
      <c r="P875" s="5"/>
    </row>
    <row r="876">
      <c r="G876" s="5"/>
      <c r="H876" s="5"/>
      <c r="I876" s="5"/>
      <c r="J876" s="5"/>
      <c r="K876" s="5"/>
      <c r="L876" s="5"/>
      <c r="M876" s="149"/>
      <c r="N876" s="5"/>
      <c r="O876" s="5"/>
      <c r="P876" s="5"/>
    </row>
    <row r="877">
      <c r="G877" s="5"/>
      <c r="H877" s="5"/>
      <c r="I877" s="5"/>
      <c r="J877" s="5"/>
      <c r="K877" s="5"/>
      <c r="L877" s="5"/>
      <c r="M877" s="149"/>
      <c r="N877" s="5"/>
      <c r="O877" s="5"/>
      <c r="P877" s="5"/>
    </row>
    <row r="878">
      <c r="G878" s="5"/>
      <c r="H878" s="5"/>
      <c r="I878" s="5"/>
      <c r="J878" s="5"/>
      <c r="K878" s="5"/>
      <c r="L878" s="5"/>
      <c r="M878" s="149"/>
      <c r="N878" s="5"/>
      <c r="O878" s="5"/>
      <c r="P878" s="5"/>
    </row>
    <row r="879">
      <c r="G879" s="5"/>
      <c r="H879" s="5"/>
      <c r="I879" s="5"/>
      <c r="J879" s="5"/>
      <c r="K879" s="5"/>
      <c r="L879" s="5"/>
      <c r="M879" s="149"/>
      <c r="N879" s="5"/>
      <c r="O879" s="5"/>
      <c r="P879" s="5"/>
    </row>
    <row r="880">
      <c r="G880" s="5"/>
      <c r="H880" s="5"/>
      <c r="I880" s="5"/>
      <c r="J880" s="5"/>
      <c r="K880" s="5"/>
      <c r="L880" s="5"/>
      <c r="M880" s="149"/>
      <c r="N880" s="5"/>
      <c r="O880" s="5"/>
      <c r="P880" s="5"/>
    </row>
    <row r="881">
      <c r="G881" s="5"/>
      <c r="H881" s="5"/>
      <c r="I881" s="5"/>
      <c r="J881" s="5"/>
      <c r="K881" s="5"/>
      <c r="L881" s="5"/>
      <c r="M881" s="149"/>
      <c r="N881" s="5"/>
      <c r="O881" s="5"/>
      <c r="P881" s="5"/>
    </row>
    <row r="882">
      <c r="G882" s="5"/>
      <c r="H882" s="5"/>
      <c r="I882" s="5"/>
      <c r="J882" s="5"/>
      <c r="K882" s="5"/>
      <c r="L882" s="5"/>
      <c r="M882" s="149"/>
      <c r="N882" s="5"/>
      <c r="O882" s="5"/>
      <c r="P882" s="5"/>
    </row>
    <row r="883">
      <c r="G883" s="5"/>
      <c r="H883" s="5"/>
      <c r="I883" s="5"/>
      <c r="J883" s="5"/>
      <c r="K883" s="5"/>
      <c r="L883" s="5"/>
      <c r="M883" s="149"/>
      <c r="N883" s="5"/>
      <c r="O883" s="5"/>
      <c r="P883" s="5"/>
    </row>
    <row r="884">
      <c r="G884" s="5"/>
      <c r="H884" s="5"/>
      <c r="I884" s="5"/>
      <c r="J884" s="5"/>
      <c r="K884" s="5"/>
      <c r="L884" s="5"/>
      <c r="M884" s="149"/>
      <c r="N884" s="5"/>
      <c r="O884" s="5"/>
      <c r="P884" s="5"/>
    </row>
    <row r="885">
      <c r="G885" s="5"/>
      <c r="H885" s="5"/>
      <c r="I885" s="5"/>
      <c r="J885" s="5"/>
      <c r="K885" s="5"/>
      <c r="L885" s="5"/>
      <c r="M885" s="149"/>
      <c r="N885" s="5"/>
      <c r="O885" s="5"/>
      <c r="P885" s="5"/>
    </row>
    <row r="886">
      <c r="G886" s="5"/>
      <c r="H886" s="5"/>
      <c r="I886" s="5"/>
      <c r="J886" s="5"/>
      <c r="K886" s="5"/>
      <c r="L886" s="5"/>
      <c r="M886" s="149"/>
      <c r="N886" s="5"/>
      <c r="O886" s="5"/>
      <c r="P886" s="5"/>
    </row>
    <row r="887">
      <c r="G887" s="5"/>
      <c r="H887" s="5"/>
      <c r="I887" s="5"/>
      <c r="J887" s="5"/>
      <c r="K887" s="5"/>
      <c r="L887" s="5"/>
      <c r="M887" s="149"/>
      <c r="N887" s="5"/>
      <c r="O887" s="5"/>
      <c r="P887" s="5"/>
    </row>
    <row r="888">
      <c r="G888" s="5"/>
      <c r="H888" s="5"/>
      <c r="I888" s="5"/>
      <c r="J888" s="5"/>
      <c r="K888" s="5"/>
      <c r="L888" s="5"/>
      <c r="M888" s="149"/>
      <c r="N888" s="5"/>
      <c r="O888" s="5"/>
      <c r="P888" s="5"/>
    </row>
    <row r="889">
      <c r="G889" s="5"/>
      <c r="H889" s="5"/>
      <c r="I889" s="5"/>
      <c r="J889" s="5"/>
      <c r="K889" s="5"/>
      <c r="L889" s="5"/>
      <c r="M889" s="149"/>
      <c r="N889" s="5"/>
      <c r="O889" s="5"/>
      <c r="P889" s="5"/>
    </row>
    <row r="890">
      <c r="G890" s="5"/>
      <c r="H890" s="5"/>
      <c r="I890" s="5"/>
      <c r="J890" s="5"/>
      <c r="K890" s="5"/>
      <c r="L890" s="5"/>
      <c r="M890" s="149"/>
      <c r="N890" s="5"/>
      <c r="O890" s="5"/>
      <c r="P890" s="5"/>
    </row>
    <row r="891">
      <c r="G891" s="5"/>
      <c r="H891" s="5"/>
      <c r="I891" s="5"/>
      <c r="J891" s="5"/>
      <c r="K891" s="5"/>
      <c r="L891" s="5"/>
      <c r="M891" s="149"/>
      <c r="N891" s="5"/>
      <c r="O891" s="5"/>
      <c r="P891" s="5"/>
    </row>
    <row r="892">
      <c r="G892" s="5"/>
      <c r="H892" s="5"/>
      <c r="I892" s="5"/>
      <c r="J892" s="5"/>
      <c r="K892" s="5"/>
      <c r="L892" s="5"/>
      <c r="M892" s="149"/>
      <c r="N892" s="5"/>
      <c r="O892" s="5"/>
      <c r="P892" s="5"/>
    </row>
    <row r="893">
      <c r="G893" s="5"/>
      <c r="H893" s="5"/>
      <c r="I893" s="5"/>
      <c r="J893" s="5"/>
      <c r="K893" s="5"/>
      <c r="L893" s="5"/>
      <c r="M893" s="149"/>
      <c r="N893" s="5"/>
      <c r="O893" s="5"/>
      <c r="P893" s="5"/>
    </row>
    <row r="894">
      <c r="G894" s="5"/>
      <c r="H894" s="5"/>
      <c r="I894" s="5"/>
      <c r="J894" s="5"/>
      <c r="K894" s="5"/>
      <c r="L894" s="5"/>
      <c r="M894" s="149"/>
      <c r="N894" s="5"/>
      <c r="O894" s="5"/>
      <c r="P894" s="5"/>
    </row>
    <row r="895">
      <c r="G895" s="5"/>
      <c r="H895" s="5"/>
      <c r="I895" s="5"/>
      <c r="J895" s="5"/>
      <c r="K895" s="5"/>
      <c r="L895" s="5"/>
      <c r="M895" s="149"/>
      <c r="N895" s="5"/>
      <c r="O895" s="5"/>
      <c r="P895" s="5"/>
    </row>
    <row r="896">
      <c r="G896" s="5"/>
      <c r="H896" s="5"/>
      <c r="I896" s="5"/>
      <c r="J896" s="5"/>
      <c r="K896" s="5"/>
      <c r="L896" s="5"/>
      <c r="M896" s="149"/>
      <c r="N896" s="5"/>
      <c r="O896" s="5"/>
      <c r="P896" s="5"/>
    </row>
    <row r="897">
      <c r="G897" s="5"/>
      <c r="H897" s="5"/>
      <c r="I897" s="5"/>
      <c r="J897" s="5"/>
      <c r="K897" s="5"/>
      <c r="L897" s="5"/>
      <c r="M897" s="149"/>
      <c r="N897" s="5"/>
      <c r="O897" s="5"/>
      <c r="P897" s="5"/>
    </row>
    <row r="898">
      <c r="G898" s="5"/>
      <c r="H898" s="5"/>
      <c r="I898" s="5"/>
      <c r="J898" s="5"/>
      <c r="K898" s="5"/>
      <c r="L898" s="5"/>
      <c r="M898" s="149"/>
      <c r="N898" s="5"/>
      <c r="O898" s="5"/>
      <c r="P898" s="5"/>
    </row>
    <row r="899">
      <c r="G899" s="5"/>
      <c r="H899" s="5"/>
      <c r="I899" s="5"/>
      <c r="J899" s="5"/>
      <c r="K899" s="5"/>
      <c r="L899" s="5"/>
      <c r="M899" s="149"/>
      <c r="N899" s="5"/>
      <c r="O899" s="5"/>
      <c r="P899" s="5"/>
    </row>
    <row r="900">
      <c r="G900" s="5"/>
      <c r="H900" s="5"/>
      <c r="I900" s="5"/>
      <c r="J900" s="5"/>
      <c r="K900" s="5"/>
      <c r="L900" s="5"/>
      <c r="M900" s="149"/>
      <c r="N900" s="5"/>
      <c r="O900" s="5"/>
      <c r="P900" s="5"/>
    </row>
    <row r="901">
      <c r="G901" s="5"/>
      <c r="H901" s="5"/>
      <c r="I901" s="5"/>
      <c r="J901" s="5"/>
      <c r="K901" s="5"/>
      <c r="L901" s="5"/>
      <c r="M901" s="149"/>
      <c r="N901" s="5"/>
      <c r="O901" s="5"/>
      <c r="P901" s="5"/>
    </row>
    <row r="902">
      <c r="G902" s="5"/>
      <c r="H902" s="5"/>
      <c r="I902" s="5"/>
      <c r="J902" s="5"/>
      <c r="K902" s="5"/>
      <c r="L902" s="5"/>
      <c r="M902" s="149"/>
      <c r="N902" s="5"/>
      <c r="O902" s="5"/>
      <c r="P902" s="5"/>
    </row>
    <row r="903">
      <c r="G903" s="5"/>
      <c r="H903" s="5"/>
      <c r="I903" s="5"/>
      <c r="J903" s="5"/>
      <c r="K903" s="5"/>
      <c r="L903" s="5"/>
      <c r="M903" s="149"/>
      <c r="N903" s="5"/>
      <c r="O903" s="5"/>
      <c r="P903" s="5"/>
    </row>
    <row r="904">
      <c r="G904" s="5"/>
      <c r="H904" s="5"/>
      <c r="I904" s="5"/>
      <c r="J904" s="5"/>
      <c r="K904" s="5"/>
      <c r="L904" s="5"/>
      <c r="M904" s="149"/>
      <c r="N904" s="5"/>
      <c r="O904" s="5"/>
      <c r="P904" s="5"/>
    </row>
    <row r="905">
      <c r="G905" s="5"/>
      <c r="H905" s="5"/>
      <c r="I905" s="5"/>
      <c r="J905" s="5"/>
      <c r="K905" s="5"/>
      <c r="L905" s="5"/>
      <c r="M905" s="149"/>
      <c r="N905" s="5"/>
      <c r="O905" s="5"/>
      <c r="P905" s="5"/>
    </row>
    <row r="906">
      <c r="G906" s="5"/>
      <c r="H906" s="5"/>
      <c r="I906" s="5"/>
      <c r="J906" s="5"/>
      <c r="K906" s="5"/>
      <c r="L906" s="5"/>
      <c r="M906" s="149"/>
      <c r="N906" s="5"/>
      <c r="O906" s="5"/>
      <c r="P906" s="5"/>
    </row>
    <row r="907">
      <c r="G907" s="5"/>
      <c r="H907" s="5"/>
      <c r="I907" s="5"/>
      <c r="J907" s="5"/>
      <c r="K907" s="5"/>
      <c r="L907" s="5"/>
      <c r="M907" s="149"/>
      <c r="N907" s="5"/>
      <c r="O907" s="5"/>
      <c r="P907" s="5"/>
    </row>
    <row r="908">
      <c r="G908" s="5"/>
      <c r="H908" s="5"/>
      <c r="I908" s="5"/>
      <c r="J908" s="5"/>
      <c r="K908" s="5"/>
      <c r="L908" s="5"/>
      <c r="M908" s="149"/>
      <c r="N908" s="5"/>
      <c r="O908" s="5"/>
      <c r="P908" s="5"/>
    </row>
    <row r="909">
      <c r="G909" s="5"/>
      <c r="H909" s="5"/>
      <c r="I909" s="5"/>
      <c r="J909" s="5"/>
      <c r="K909" s="5"/>
      <c r="L909" s="5"/>
      <c r="M909" s="149"/>
      <c r="N909" s="5"/>
      <c r="O909" s="5"/>
      <c r="P909" s="5"/>
    </row>
    <row r="910">
      <c r="G910" s="5"/>
      <c r="H910" s="5"/>
      <c r="I910" s="5"/>
      <c r="J910" s="5"/>
      <c r="K910" s="5"/>
      <c r="L910" s="5"/>
      <c r="M910" s="149"/>
      <c r="N910" s="5"/>
      <c r="O910" s="5"/>
      <c r="P910" s="5"/>
    </row>
    <row r="911">
      <c r="G911" s="5"/>
      <c r="H911" s="5"/>
      <c r="I911" s="5"/>
      <c r="J911" s="5"/>
      <c r="K911" s="5"/>
      <c r="L911" s="5"/>
      <c r="M911" s="149"/>
      <c r="N911" s="5"/>
      <c r="O911" s="5"/>
      <c r="P911" s="5"/>
    </row>
    <row r="912">
      <c r="G912" s="5"/>
      <c r="H912" s="5"/>
      <c r="I912" s="5"/>
      <c r="J912" s="5"/>
      <c r="K912" s="5"/>
      <c r="L912" s="5"/>
      <c r="M912" s="149"/>
      <c r="N912" s="5"/>
      <c r="O912" s="5"/>
      <c r="P912" s="5"/>
    </row>
    <row r="913">
      <c r="G913" s="5"/>
      <c r="H913" s="5"/>
      <c r="I913" s="5"/>
      <c r="J913" s="5"/>
      <c r="K913" s="5"/>
      <c r="L913" s="5"/>
      <c r="M913" s="149"/>
      <c r="N913" s="5"/>
      <c r="O913" s="5"/>
      <c r="P913" s="5"/>
    </row>
    <row r="914">
      <c r="G914" s="5"/>
      <c r="H914" s="5"/>
      <c r="I914" s="5"/>
      <c r="J914" s="5"/>
      <c r="K914" s="5"/>
      <c r="L914" s="5"/>
      <c r="M914" s="149"/>
      <c r="N914" s="5"/>
      <c r="O914" s="5"/>
      <c r="P914" s="5"/>
    </row>
    <row r="915">
      <c r="G915" s="5"/>
      <c r="H915" s="5"/>
      <c r="I915" s="5"/>
      <c r="J915" s="5"/>
      <c r="K915" s="5"/>
      <c r="L915" s="5"/>
      <c r="M915" s="149"/>
      <c r="N915" s="5"/>
      <c r="O915" s="5"/>
      <c r="P915" s="5"/>
    </row>
    <row r="916">
      <c r="G916" s="5"/>
      <c r="H916" s="5"/>
      <c r="I916" s="5"/>
      <c r="J916" s="5"/>
      <c r="K916" s="5"/>
      <c r="L916" s="5"/>
      <c r="M916" s="149"/>
      <c r="N916" s="5"/>
      <c r="O916" s="5"/>
      <c r="P916" s="5"/>
    </row>
    <row r="917">
      <c r="G917" s="5"/>
      <c r="H917" s="5"/>
      <c r="I917" s="5"/>
      <c r="J917" s="5"/>
      <c r="K917" s="5"/>
      <c r="L917" s="5"/>
      <c r="M917" s="149"/>
      <c r="N917" s="5"/>
      <c r="O917" s="5"/>
      <c r="P917" s="5"/>
    </row>
    <row r="918">
      <c r="G918" s="5"/>
      <c r="H918" s="5"/>
      <c r="I918" s="5"/>
      <c r="J918" s="5"/>
      <c r="K918" s="5"/>
      <c r="L918" s="5"/>
      <c r="M918" s="149"/>
      <c r="N918" s="5"/>
      <c r="O918" s="5"/>
      <c r="P918" s="5"/>
    </row>
    <row r="919">
      <c r="G919" s="5"/>
      <c r="H919" s="5"/>
      <c r="I919" s="5"/>
      <c r="J919" s="5"/>
      <c r="K919" s="5"/>
      <c r="L919" s="5"/>
      <c r="M919" s="149"/>
      <c r="N919" s="5"/>
      <c r="O919" s="5"/>
      <c r="P919" s="5"/>
    </row>
    <row r="920">
      <c r="G920" s="5"/>
      <c r="H920" s="5"/>
      <c r="I920" s="5"/>
      <c r="J920" s="5"/>
      <c r="K920" s="5"/>
      <c r="L920" s="5"/>
      <c r="M920" s="149"/>
      <c r="N920" s="5"/>
      <c r="O920" s="5"/>
      <c r="P920" s="5"/>
    </row>
    <row r="921">
      <c r="G921" s="5"/>
      <c r="H921" s="5"/>
      <c r="I921" s="5"/>
      <c r="J921" s="5"/>
      <c r="K921" s="5"/>
      <c r="L921" s="5"/>
      <c r="M921" s="149"/>
      <c r="N921" s="5"/>
      <c r="O921" s="5"/>
      <c r="P921" s="5"/>
    </row>
    <row r="922">
      <c r="G922" s="5"/>
      <c r="H922" s="5"/>
      <c r="I922" s="5"/>
      <c r="J922" s="5"/>
      <c r="K922" s="5"/>
      <c r="L922" s="5"/>
      <c r="M922" s="149"/>
      <c r="N922" s="5"/>
      <c r="O922" s="5"/>
      <c r="P922" s="5"/>
    </row>
    <row r="923">
      <c r="G923" s="5"/>
      <c r="H923" s="5"/>
      <c r="I923" s="5"/>
      <c r="J923" s="5"/>
      <c r="K923" s="5"/>
      <c r="L923" s="5"/>
      <c r="M923" s="149"/>
      <c r="N923" s="5"/>
      <c r="O923" s="5"/>
      <c r="P923" s="5"/>
    </row>
    <row r="924">
      <c r="G924" s="5"/>
      <c r="H924" s="5"/>
      <c r="I924" s="5"/>
      <c r="J924" s="5"/>
      <c r="K924" s="5"/>
      <c r="L924" s="5"/>
      <c r="M924" s="149"/>
      <c r="N924" s="5"/>
      <c r="O924" s="5"/>
      <c r="P924" s="5"/>
    </row>
    <row r="925">
      <c r="G925" s="5"/>
      <c r="H925" s="5"/>
      <c r="I925" s="5"/>
      <c r="J925" s="5"/>
      <c r="K925" s="5"/>
      <c r="L925" s="5"/>
      <c r="M925" s="149"/>
      <c r="N925" s="5"/>
      <c r="O925" s="5"/>
      <c r="P925" s="5"/>
    </row>
    <row r="926">
      <c r="G926" s="5"/>
      <c r="H926" s="5"/>
      <c r="I926" s="5"/>
      <c r="J926" s="5"/>
      <c r="K926" s="5"/>
      <c r="L926" s="5"/>
      <c r="M926" s="149"/>
      <c r="N926" s="5"/>
      <c r="O926" s="5"/>
      <c r="P926" s="5"/>
    </row>
    <row r="927">
      <c r="G927" s="5"/>
      <c r="H927" s="5"/>
      <c r="I927" s="5"/>
      <c r="J927" s="5"/>
      <c r="K927" s="5"/>
      <c r="L927" s="5"/>
      <c r="M927" s="149"/>
      <c r="N927" s="5"/>
      <c r="O927" s="5"/>
      <c r="P927" s="5"/>
    </row>
    <row r="928">
      <c r="G928" s="5"/>
      <c r="H928" s="5"/>
      <c r="I928" s="5"/>
      <c r="J928" s="5"/>
      <c r="K928" s="5"/>
      <c r="L928" s="5"/>
      <c r="M928" s="149"/>
      <c r="N928" s="5"/>
      <c r="O928" s="5"/>
      <c r="P928" s="5"/>
    </row>
    <row r="929">
      <c r="G929" s="5"/>
      <c r="H929" s="5"/>
      <c r="I929" s="5"/>
      <c r="J929" s="5"/>
      <c r="K929" s="5"/>
      <c r="L929" s="5"/>
      <c r="M929" s="149"/>
      <c r="N929" s="5"/>
      <c r="O929" s="5"/>
      <c r="P929" s="5"/>
    </row>
    <row r="930">
      <c r="G930" s="5"/>
      <c r="H930" s="5"/>
      <c r="I930" s="5"/>
      <c r="J930" s="5"/>
      <c r="K930" s="5"/>
      <c r="L930" s="5"/>
      <c r="M930" s="149"/>
      <c r="N930" s="5"/>
      <c r="O930" s="5"/>
      <c r="P930" s="5"/>
    </row>
    <row r="931">
      <c r="G931" s="5"/>
      <c r="H931" s="5"/>
      <c r="I931" s="5"/>
      <c r="J931" s="5"/>
      <c r="K931" s="5"/>
      <c r="L931" s="5"/>
      <c r="M931" s="149"/>
      <c r="N931" s="5"/>
      <c r="O931" s="5"/>
      <c r="P931" s="5"/>
    </row>
    <row r="932">
      <c r="G932" s="5"/>
      <c r="H932" s="5"/>
      <c r="I932" s="5"/>
      <c r="J932" s="5"/>
      <c r="K932" s="5"/>
      <c r="L932" s="5"/>
      <c r="M932" s="149"/>
      <c r="N932" s="5"/>
      <c r="O932" s="5"/>
      <c r="P932" s="5"/>
    </row>
    <row r="933">
      <c r="G933" s="5"/>
      <c r="H933" s="5"/>
      <c r="I933" s="5"/>
      <c r="J933" s="5"/>
      <c r="K933" s="5"/>
      <c r="L933" s="5"/>
      <c r="M933" s="149"/>
      <c r="N933" s="5"/>
      <c r="O933" s="5"/>
      <c r="P933" s="5"/>
    </row>
    <row r="934">
      <c r="G934" s="5"/>
      <c r="H934" s="5"/>
      <c r="I934" s="5"/>
      <c r="J934" s="5"/>
      <c r="K934" s="5"/>
      <c r="L934" s="5"/>
      <c r="M934" s="149"/>
      <c r="N934" s="5"/>
      <c r="O934" s="5"/>
      <c r="P934" s="5"/>
    </row>
    <row r="935">
      <c r="G935" s="5"/>
      <c r="H935" s="5"/>
      <c r="I935" s="5"/>
      <c r="J935" s="5"/>
      <c r="K935" s="5"/>
      <c r="L935" s="5"/>
      <c r="M935" s="149"/>
      <c r="N935" s="5"/>
      <c r="O935" s="5"/>
      <c r="P935" s="5"/>
    </row>
    <row r="936">
      <c r="G936" s="5"/>
      <c r="H936" s="5"/>
      <c r="I936" s="5"/>
      <c r="J936" s="5"/>
      <c r="K936" s="5"/>
      <c r="L936" s="5"/>
      <c r="M936" s="149"/>
      <c r="N936" s="5"/>
      <c r="O936" s="5"/>
      <c r="P936" s="5"/>
    </row>
    <row r="937">
      <c r="G937" s="5"/>
      <c r="H937" s="5"/>
      <c r="I937" s="5"/>
      <c r="J937" s="5"/>
      <c r="K937" s="5"/>
      <c r="L937" s="5"/>
      <c r="M937" s="149"/>
      <c r="N937" s="5"/>
      <c r="O937" s="5"/>
      <c r="P937" s="5"/>
    </row>
    <row r="938">
      <c r="G938" s="5"/>
      <c r="H938" s="5"/>
      <c r="I938" s="5"/>
      <c r="J938" s="5"/>
      <c r="K938" s="5"/>
      <c r="L938" s="5"/>
      <c r="M938" s="149"/>
      <c r="N938" s="5"/>
      <c r="O938" s="5"/>
      <c r="P938" s="5"/>
    </row>
    <row r="939">
      <c r="G939" s="5"/>
      <c r="H939" s="5"/>
      <c r="I939" s="5"/>
      <c r="J939" s="5"/>
      <c r="K939" s="5"/>
      <c r="L939" s="5"/>
      <c r="M939" s="149"/>
      <c r="N939" s="5"/>
      <c r="O939" s="5"/>
      <c r="P939" s="5"/>
    </row>
    <row r="940">
      <c r="G940" s="5"/>
      <c r="H940" s="5"/>
      <c r="I940" s="5"/>
      <c r="J940" s="5"/>
      <c r="K940" s="5"/>
      <c r="L940" s="5"/>
      <c r="M940" s="149"/>
      <c r="N940" s="5"/>
      <c r="O940" s="5"/>
      <c r="P940" s="5"/>
    </row>
    <row r="941">
      <c r="G941" s="5"/>
      <c r="H941" s="5"/>
      <c r="I941" s="5"/>
      <c r="J941" s="5"/>
      <c r="K941" s="5"/>
      <c r="L941" s="5"/>
      <c r="M941" s="149"/>
      <c r="N941" s="5"/>
      <c r="O941" s="5"/>
      <c r="P941" s="5"/>
    </row>
    <row r="942">
      <c r="G942" s="5"/>
      <c r="H942" s="5"/>
      <c r="I942" s="5"/>
      <c r="J942" s="5"/>
      <c r="K942" s="5"/>
      <c r="L942" s="5"/>
      <c r="M942" s="149"/>
      <c r="N942" s="5"/>
      <c r="O942" s="5"/>
      <c r="P942" s="5"/>
    </row>
    <row r="943">
      <c r="G943" s="5"/>
      <c r="H943" s="5"/>
      <c r="I943" s="5"/>
      <c r="J943" s="5"/>
      <c r="K943" s="5"/>
      <c r="L943" s="5"/>
      <c r="M943" s="149"/>
      <c r="N943" s="5"/>
      <c r="O943" s="5"/>
      <c r="P943" s="5"/>
    </row>
    <row r="944">
      <c r="G944" s="5"/>
      <c r="H944" s="5"/>
      <c r="I944" s="5"/>
      <c r="J944" s="5"/>
      <c r="K944" s="5"/>
      <c r="L944" s="5"/>
      <c r="M944" s="149"/>
      <c r="N944" s="5"/>
      <c r="O944" s="5"/>
      <c r="P944" s="5"/>
    </row>
    <row r="945">
      <c r="G945" s="5"/>
      <c r="H945" s="5"/>
      <c r="I945" s="5"/>
      <c r="J945" s="5"/>
      <c r="K945" s="5"/>
      <c r="L945" s="5"/>
      <c r="M945" s="149"/>
      <c r="N945" s="5"/>
      <c r="O945" s="5"/>
      <c r="P945" s="5"/>
    </row>
    <row r="946">
      <c r="G946" s="5"/>
      <c r="H946" s="5"/>
      <c r="I946" s="5"/>
      <c r="J946" s="5"/>
      <c r="K946" s="5"/>
      <c r="L946" s="5"/>
      <c r="M946" s="149"/>
      <c r="N946" s="5"/>
      <c r="O946" s="5"/>
      <c r="P946" s="5"/>
    </row>
    <row r="947">
      <c r="G947" s="5"/>
      <c r="H947" s="5"/>
      <c r="I947" s="5"/>
      <c r="J947" s="5"/>
      <c r="K947" s="5"/>
      <c r="L947" s="5"/>
      <c r="M947" s="149"/>
      <c r="N947" s="5"/>
      <c r="O947" s="5"/>
      <c r="P947" s="5"/>
    </row>
    <row r="948">
      <c r="G948" s="5"/>
      <c r="H948" s="5"/>
      <c r="I948" s="5"/>
      <c r="J948" s="5"/>
      <c r="K948" s="5"/>
      <c r="L948" s="5"/>
      <c r="M948" s="149"/>
      <c r="N948" s="5"/>
      <c r="O948" s="5"/>
      <c r="P948" s="5"/>
    </row>
    <row r="949">
      <c r="G949" s="5"/>
      <c r="H949" s="5"/>
      <c r="I949" s="5"/>
      <c r="J949" s="5"/>
      <c r="K949" s="5"/>
      <c r="L949" s="5"/>
      <c r="M949" s="149"/>
      <c r="N949" s="5"/>
      <c r="O949" s="5"/>
      <c r="P949" s="5"/>
    </row>
    <row r="950">
      <c r="G950" s="5"/>
      <c r="H950" s="5"/>
      <c r="I950" s="5"/>
      <c r="J950" s="5"/>
      <c r="K950" s="5"/>
      <c r="L950" s="5"/>
      <c r="M950" s="149"/>
      <c r="N950" s="5"/>
      <c r="O950" s="5"/>
      <c r="P950" s="5"/>
    </row>
    <row r="951">
      <c r="G951" s="5"/>
      <c r="H951" s="5"/>
      <c r="I951" s="5"/>
      <c r="J951" s="5"/>
      <c r="K951" s="5"/>
      <c r="L951" s="5"/>
      <c r="M951" s="149"/>
      <c r="N951" s="5"/>
      <c r="O951" s="5"/>
      <c r="P951" s="5"/>
    </row>
    <row r="952">
      <c r="G952" s="5"/>
      <c r="H952" s="5"/>
      <c r="I952" s="5"/>
      <c r="J952" s="5"/>
      <c r="K952" s="5"/>
      <c r="L952" s="5"/>
      <c r="M952" s="149"/>
      <c r="N952" s="5"/>
      <c r="O952" s="5"/>
      <c r="P952" s="5"/>
    </row>
    <row r="953">
      <c r="G953" s="5"/>
      <c r="H953" s="5"/>
      <c r="I953" s="5"/>
      <c r="J953" s="5"/>
      <c r="K953" s="5"/>
      <c r="L953" s="5"/>
      <c r="M953" s="149"/>
      <c r="N953" s="5"/>
      <c r="O953" s="5"/>
      <c r="P953" s="5"/>
    </row>
    <row r="954">
      <c r="G954" s="5"/>
      <c r="H954" s="5"/>
      <c r="I954" s="5"/>
      <c r="J954" s="5"/>
      <c r="K954" s="5"/>
      <c r="L954" s="5"/>
      <c r="M954" s="149"/>
      <c r="N954" s="5"/>
      <c r="O954" s="5"/>
      <c r="P954" s="5"/>
    </row>
    <row r="955">
      <c r="G955" s="5"/>
      <c r="H955" s="5"/>
      <c r="I955" s="5"/>
      <c r="J955" s="5"/>
      <c r="K955" s="5"/>
      <c r="L955" s="5"/>
      <c r="M955" s="149"/>
      <c r="N955" s="5"/>
      <c r="O955" s="5"/>
      <c r="P955" s="5"/>
    </row>
    <row r="956">
      <c r="G956" s="5"/>
      <c r="H956" s="5"/>
      <c r="I956" s="5"/>
      <c r="J956" s="5"/>
      <c r="K956" s="5"/>
      <c r="L956" s="5"/>
      <c r="M956" s="149"/>
      <c r="N956" s="5"/>
      <c r="O956" s="5"/>
      <c r="P956" s="5"/>
    </row>
    <row r="957">
      <c r="G957" s="5"/>
      <c r="H957" s="5"/>
      <c r="I957" s="5"/>
      <c r="J957" s="5"/>
      <c r="K957" s="5"/>
      <c r="L957" s="5"/>
      <c r="M957" s="149"/>
      <c r="N957" s="5"/>
      <c r="O957" s="5"/>
      <c r="P957" s="5"/>
    </row>
    <row r="958">
      <c r="G958" s="5"/>
      <c r="H958" s="5"/>
      <c r="I958" s="5"/>
      <c r="J958" s="5"/>
      <c r="K958" s="5"/>
      <c r="L958" s="5"/>
      <c r="M958" s="149"/>
      <c r="N958" s="5"/>
      <c r="O958" s="5"/>
      <c r="P958" s="5"/>
    </row>
    <row r="959">
      <c r="G959" s="5"/>
      <c r="H959" s="5"/>
      <c r="I959" s="5"/>
      <c r="J959" s="5"/>
      <c r="K959" s="5"/>
      <c r="L959" s="5"/>
      <c r="M959" s="149"/>
      <c r="N959" s="5"/>
      <c r="O959" s="5"/>
      <c r="P959" s="5"/>
    </row>
    <row r="960">
      <c r="G960" s="5"/>
      <c r="H960" s="5"/>
      <c r="I960" s="5"/>
      <c r="J960" s="5"/>
      <c r="K960" s="5"/>
      <c r="L960" s="5"/>
      <c r="M960" s="149"/>
      <c r="N960" s="5"/>
      <c r="O960" s="5"/>
      <c r="P960" s="5"/>
    </row>
    <row r="961">
      <c r="G961" s="5"/>
      <c r="H961" s="5"/>
      <c r="I961" s="5"/>
      <c r="J961" s="5"/>
      <c r="K961" s="5"/>
      <c r="L961" s="5"/>
      <c r="M961" s="149"/>
      <c r="N961" s="5"/>
      <c r="O961" s="5"/>
      <c r="P961" s="5"/>
    </row>
    <row r="962">
      <c r="G962" s="5"/>
      <c r="H962" s="5"/>
      <c r="I962" s="5"/>
      <c r="J962" s="5"/>
      <c r="K962" s="5"/>
      <c r="L962" s="5"/>
      <c r="M962" s="149"/>
      <c r="N962" s="5"/>
      <c r="O962" s="5"/>
      <c r="P962" s="5"/>
    </row>
    <row r="963">
      <c r="G963" s="5"/>
      <c r="H963" s="5"/>
      <c r="I963" s="5"/>
      <c r="J963" s="5"/>
      <c r="K963" s="5"/>
      <c r="L963" s="5"/>
      <c r="M963" s="149"/>
      <c r="N963" s="5"/>
      <c r="O963" s="5"/>
      <c r="P963" s="5"/>
    </row>
    <row r="964">
      <c r="G964" s="5"/>
      <c r="H964" s="5"/>
      <c r="I964" s="5"/>
      <c r="J964" s="5"/>
      <c r="K964" s="5"/>
      <c r="L964" s="5"/>
      <c r="M964" s="149"/>
      <c r="N964" s="5"/>
      <c r="O964" s="5"/>
      <c r="P964" s="5"/>
    </row>
    <row r="965">
      <c r="G965" s="5"/>
      <c r="H965" s="5"/>
      <c r="I965" s="5"/>
      <c r="J965" s="5"/>
      <c r="K965" s="5"/>
      <c r="L965" s="5"/>
      <c r="M965" s="149"/>
      <c r="N965" s="5"/>
      <c r="O965" s="5"/>
      <c r="P965" s="5"/>
    </row>
    <row r="966">
      <c r="G966" s="5"/>
      <c r="H966" s="5"/>
      <c r="I966" s="5"/>
      <c r="J966" s="5"/>
      <c r="K966" s="5"/>
      <c r="L966" s="5"/>
      <c r="M966" s="149"/>
      <c r="N966" s="5"/>
      <c r="O966" s="5"/>
      <c r="P966" s="5"/>
    </row>
    <row r="967">
      <c r="G967" s="5"/>
      <c r="H967" s="5"/>
      <c r="I967" s="5"/>
      <c r="J967" s="5"/>
      <c r="K967" s="5"/>
      <c r="L967" s="5"/>
      <c r="M967" s="149"/>
      <c r="N967" s="5"/>
      <c r="O967" s="5"/>
      <c r="P967" s="5"/>
    </row>
    <row r="968">
      <c r="G968" s="5"/>
      <c r="H968" s="5"/>
      <c r="I968" s="5"/>
      <c r="J968" s="5"/>
      <c r="K968" s="5"/>
      <c r="L968" s="5"/>
      <c r="M968" s="149"/>
      <c r="N968" s="5"/>
      <c r="O968" s="5"/>
      <c r="P968" s="5"/>
    </row>
    <row r="969">
      <c r="G969" s="5"/>
      <c r="H969" s="5"/>
      <c r="I969" s="5"/>
      <c r="J969" s="5"/>
      <c r="K969" s="5"/>
      <c r="L969" s="5"/>
      <c r="M969" s="149"/>
      <c r="N969" s="5"/>
      <c r="O969" s="5"/>
      <c r="P969" s="5"/>
    </row>
    <row r="970">
      <c r="G970" s="5"/>
      <c r="H970" s="5"/>
      <c r="I970" s="5"/>
      <c r="J970" s="5"/>
      <c r="K970" s="5"/>
      <c r="L970" s="5"/>
      <c r="M970" s="149"/>
      <c r="N970" s="5"/>
      <c r="O970" s="5"/>
      <c r="P970" s="5"/>
    </row>
    <row r="971">
      <c r="G971" s="5"/>
      <c r="H971" s="5"/>
      <c r="I971" s="5"/>
      <c r="J971" s="5"/>
      <c r="K971" s="5"/>
      <c r="L971" s="5"/>
      <c r="M971" s="149"/>
      <c r="N971" s="5"/>
      <c r="O971" s="5"/>
      <c r="P971" s="5"/>
    </row>
    <row r="972">
      <c r="G972" s="5"/>
      <c r="H972" s="5"/>
      <c r="I972" s="5"/>
      <c r="J972" s="5"/>
      <c r="K972" s="5"/>
      <c r="L972" s="5"/>
      <c r="M972" s="149"/>
      <c r="N972" s="5"/>
      <c r="O972" s="5"/>
      <c r="P972" s="5"/>
    </row>
    <row r="973">
      <c r="G973" s="5"/>
      <c r="H973" s="5"/>
      <c r="I973" s="5"/>
      <c r="J973" s="5"/>
      <c r="K973" s="5"/>
      <c r="L973" s="5"/>
      <c r="M973" s="149"/>
      <c r="N973" s="5"/>
      <c r="O973" s="5"/>
      <c r="P973" s="5"/>
    </row>
    <row r="974">
      <c r="G974" s="5"/>
      <c r="H974" s="5"/>
      <c r="I974" s="5"/>
      <c r="J974" s="5"/>
      <c r="K974" s="5"/>
      <c r="L974" s="5"/>
      <c r="M974" s="149"/>
      <c r="N974" s="5"/>
      <c r="O974" s="5"/>
      <c r="P974" s="5"/>
    </row>
    <row r="975">
      <c r="G975" s="5"/>
      <c r="H975" s="5"/>
      <c r="I975" s="5"/>
      <c r="J975" s="5"/>
      <c r="K975" s="5"/>
      <c r="L975" s="5"/>
      <c r="M975" s="149"/>
      <c r="N975" s="5"/>
      <c r="O975" s="5"/>
      <c r="P975" s="5"/>
    </row>
    <row r="976">
      <c r="G976" s="5"/>
      <c r="H976" s="5"/>
      <c r="I976" s="5"/>
      <c r="J976" s="5"/>
      <c r="K976" s="5"/>
      <c r="L976" s="5"/>
      <c r="M976" s="149"/>
      <c r="N976" s="5"/>
      <c r="O976" s="5"/>
      <c r="P976" s="5"/>
    </row>
    <row r="977">
      <c r="G977" s="5"/>
      <c r="H977" s="5"/>
      <c r="I977" s="5"/>
      <c r="J977" s="5"/>
      <c r="K977" s="5"/>
      <c r="L977" s="5"/>
      <c r="M977" s="149"/>
      <c r="N977" s="5"/>
      <c r="O977" s="5"/>
      <c r="P977" s="5"/>
    </row>
    <row r="978">
      <c r="G978" s="5"/>
      <c r="H978" s="5"/>
      <c r="I978" s="5"/>
      <c r="J978" s="5"/>
      <c r="K978" s="5"/>
      <c r="L978" s="5"/>
      <c r="M978" s="149"/>
      <c r="N978" s="5"/>
      <c r="O978" s="5"/>
      <c r="P978" s="5"/>
    </row>
    <row r="979">
      <c r="G979" s="5"/>
      <c r="H979" s="5"/>
      <c r="I979" s="5"/>
      <c r="J979" s="5"/>
      <c r="K979" s="5"/>
      <c r="L979" s="5"/>
      <c r="M979" s="149"/>
      <c r="N979" s="5"/>
      <c r="O979" s="5"/>
      <c r="P979" s="5"/>
    </row>
    <row r="980">
      <c r="G980" s="5"/>
      <c r="H980" s="5"/>
      <c r="I980" s="5"/>
      <c r="J980" s="5"/>
      <c r="K980" s="5"/>
      <c r="L980" s="5"/>
      <c r="M980" s="149"/>
      <c r="N980" s="5"/>
      <c r="O980" s="5"/>
      <c r="P980" s="5"/>
    </row>
    <row r="981">
      <c r="G981" s="5"/>
      <c r="H981" s="5"/>
      <c r="I981" s="5"/>
      <c r="J981" s="5"/>
      <c r="K981" s="5"/>
      <c r="L981" s="5"/>
      <c r="M981" s="149"/>
      <c r="N981" s="5"/>
      <c r="O981" s="5"/>
      <c r="P981" s="5"/>
    </row>
    <row r="982">
      <c r="G982" s="5"/>
      <c r="H982" s="5"/>
      <c r="I982" s="5"/>
      <c r="J982" s="5"/>
      <c r="K982" s="5"/>
      <c r="L982" s="5"/>
      <c r="M982" s="149"/>
      <c r="N982" s="5"/>
      <c r="O982" s="5"/>
      <c r="P982" s="5"/>
    </row>
    <row r="983">
      <c r="G983" s="5"/>
      <c r="H983" s="5"/>
      <c r="I983" s="5"/>
      <c r="J983" s="5"/>
      <c r="K983" s="5"/>
      <c r="L983" s="5"/>
      <c r="M983" s="149"/>
      <c r="N983" s="5"/>
      <c r="O983" s="5"/>
      <c r="P983" s="5"/>
    </row>
    <row r="984">
      <c r="G984" s="5"/>
      <c r="H984" s="5"/>
      <c r="I984" s="5"/>
      <c r="J984" s="5"/>
      <c r="K984" s="5"/>
      <c r="L984" s="5"/>
      <c r="M984" s="149"/>
      <c r="N984" s="5"/>
      <c r="O984" s="5"/>
      <c r="P984" s="5"/>
    </row>
    <row r="985">
      <c r="G985" s="5"/>
      <c r="H985" s="5"/>
      <c r="I985" s="5"/>
      <c r="J985" s="5"/>
      <c r="K985" s="5"/>
      <c r="L985" s="5"/>
      <c r="M985" s="149"/>
      <c r="N985" s="5"/>
      <c r="O985" s="5"/>
      <c r="P985" s="5"/>
    </row>
    <row r="986">
      <c r="G986" s="5"/>
      <c r="H986" s="5"/>
      <c r="I986" s="5"/>
      <c r="J986" s="5"/>
      <c r="K986" s="5"/>
      <c r="L986" s="5"/>
      <c r="M986" s="149"/>
      <c r="N986" s="5"/>
      <c r="O986" s="5"/>
      <c r="P986" s="5"/>
    </row>
    <row r="987">
      <c r="G987" s="5"/>
      <c r="H987" s="5"/>
      <c r="I987" s="5"/>
      <c r="J987" s="5"/>
      <c r="K987" s="5"/>
      <c r="L987" s="5"/>
      <c r="M987" s="149"/>
      <c r="N987" s="5"/>
      <c r="O987" s="5"/>
      <c r="P987" s="5"/>
    </row>
    <row r="988">
      <c r="G988" s="5"/>
      <c r="H988" s="5"/>
      <c r="I988" s="5"/>
      <c r="J988" s="5"/>
      <c r="K988" s="5"/>
      <c r="L988" s="5"/>
      <c r="M988" s="149"/>
      <c r="N988" s="5"/>
      <c r="O988" s="5"/>
      <c r="P988" s="5"/>
    </row>
    <row r="989">
      <c r="G989" s="5"/>
      <c r="H989" s="5"/>
      <c r="I989" s="5"/>
      <c r="J989" s="5"/>
      <c r="K989" s="5"/>
      <c r="L989" s="5"/>
      <c r="M989" s="149"/>
      <c r="N989" s="5"/>
      <c r="O989" s="5"/>
      <c r="P989" s="5"/>
    </row>
    <row r="990">
      <c r="G990" s="5"/>
      <c r="H990" s="5"/>
      <c r="I990" s="5"/>
      <c r="J990" s="5"/>
      <c r="K990" s="5"/>
      <c r="L990" s="5"/>
      <c r="M990" s="149"/>
      <c r="N990" s="5"/>
      <c r="O990" s="5"/>
      <c r="P990" s="5"/>
    </row>
    <row r="991">
      <c r="G991" s="5"/>
      <c r="H991" s="5"/>
      <c r="I991" s="5"/>
      <c r="J991" s="5"/>
      <c r="K991" s="5"/>
      <c r="L991" s="5"/>
      <c r="M991" s="149"/>
      <c r="N991" s="5"/>
      <c r="O991" s="5"/>
      <c r="P991" s="5"/>
    </row>
    <row r="992">
      <c r="G992" s="5"/>
      <c r="H992" s="5"/>
      <c r="I992" s="5"/>
      <c r="J992" s="5"/>
      <c r="K992" s="5"/>
      <c r="L992" s="5"/>
      <c r="M992" s="149"/>
      <c r="N992" s="5"/>
      <c r="O992" s="5"/>
      <c r="P992" s="5"/>
    </row>
    <row r="993">
      <c r="G993" s="5"/>
      <c r="H993" s="5"/>
      <c r="I993" s="5"/>
      <c r="J993" s="5"/>
      <c r="K993" s="5"/>
      <c r="L993" s="5"/>
      <c r="M993" s="149"/>
      <c r="N993" s="5"/>
      <c r="O993" s="5"/>
      <c r="P993" s="5"/>
    </row>
    <row r="994">
      <c r="G994" s="5"/>
      <c r="H994" s="5"/>
      <c r="I994" s="5"/>
      <c r="J994" s="5"/>
      <c r="K994" s="5"/>
      <c r="L994" s="5"/>
      <c r="M994" s="149"/>
      <c r="N994" s="5"/>
      <c r="O994" s="5"/>
      <c r="P994" s="5"/>
    </row>
    <row r="995">
      <c r="G995" s="5"/>
      <c r="H995" s="5"/>
      <c r="I995" s="5"/>
      <c r="J995" s="5"/>
      <c r="K995" s="5"/>
      <c r="L995" s="5"/>
      <c r="M995" s="149"/>
      <c r="N995" s="5"/>
      <c r="O995" s="5"/>
      <c r="P995" s="5"/>
    </row>
    <row r="996">
      <c r="G996" s="5"/>
      <c r="H996" s="5"/>
      <c r="I996" s="5"/>
      <c r="J996" s="5"/>
      <c r="K996" s="5"/>
      <c r="L996" s="5"/>
      <c r="M996" s="149"/>
      <c r="N996" s="5"/>
      <c r="O996" s="5"/>
      <c r="P996" s="5"/>
    </row>
    <row r="997">
      <c r="G997" s="5"/>
      <c r="H997" s="5"/>
      <c r="I997" s="5"/>
      <c r="J997" s="5"/>
      <c r="K997" s="5"/>
      <c r="L997" s="5"/>
      <c r="M997" s="149"/>
      <c r="N997" s="5"/>
      <c r="O997" s="5"/>
      <c r="P997" s="5"/>
    </row>
    <row r="998">
      <c r="G998" s="5"/>
      <c r="H998" s="5"/>
      <c r="I998" s="5"/>
      <c r="J998" s="5"/>
      <c r="K998" s="5"/>
      <c r="L998" s="5"/>
      <c r="M998" s="149"/>
      <c r="N998" s="5"/>
      <c r="O998" s="5"/>
      <c r="P998" s="5"/>
    </row>
    <row r="999">
      <c r="G999" s="5"/>
      <c r="H999" s="5"/>
      <c r="I999" s="5"/>
      <c r="J999" s="5"/>
      <c r="K999" s="5"/>
      <c r="L999" s="5"/>
      <c r="M999" s="149"/>
      <c r="N999" s="5"/>
      <c r="O999" s="5"/>
      <c r="P999" s="5"/>
    </row>
    <row r="1000">
      <c r="G1000" s="5"/>
      <c r="H1000" s="5"/>
      <c r="I1000" s="5"/>
      <c r="J1000" s="5"/>
      <c r="K1000" s="5"/>
      <c r="L1000" s="5"/>
      <c r="M1000" s="149"/>
      <c r="N1000" s="5"/>
      <c r="O1000" s="5"/>
      <c r="P1000" s="5"/>
    </row>
    <row r="1001">
      <c r="G1001" s="5"/>
      <c r="H1001" s="5"/>
      <c r="I1001" s="5"/>
      <c r="J1001" s="5"/>
      <c r="K1001" s="5"/>
      <c r="L1001" s="5"/>
      <c r="M1001" s="149"/>
      <c r="N1001" s="5"/>
      <c r="O1001" s="5"/>
      <c r="P1001" s="5"/>
    </row>
    <row r="1002">
      <c r="G1002" s="5"/>
      <c r="H1002" s="5"/>
      <c r="I1002" s="5"/>
      <c r="J1002" s="5"/>
      <c r="K1002" s="5"/>
      <c r="L1002" s="5"/>
      <c r="M1002" s="149"/>
      <c r="N1002" s="5"/>
      <c r="O1002" s="5"/>
      <c r="P1002" s="5"/>
    </row>
    <row r="1003">
      <c r="G1003" s="5"/>
      <c r="H1003" s="5"/>
      <c r="I1003" s="5"/>
      <c r="J1003" s="5"/>
      <c r="K1003" s="5"/>
      <c r="L1003" s="5"/>
      <c r="M1003" s="149"/>
      <c r="N1003" s="5"/>
      <c r="O1003" s="5"/>
      <c r="P1003" s="5"/>
    </row>
    <row r="1004">
      <c r="G1004" s="5"/>
      <c r="H1004" s="5"/>
      <c r="I1004" s="5"/>
      <c r="J1004" s="5"/>
      <c r="K1004" s="5"/>
      <c r="L1004" s="5"/>
      <c r="M1004" s="149"/>
      <c r="N1004" s="5"/>
      <c r="O1004" s="5"/>
      <c r="P1004" s="5"/>
    </row>
    <row r="1005">
      <c r="G1005" s="5"/>
      <c r="H1005" s="5"/>
      <c r="I1005" s="5"/>
      <c r="J1005" s="5"/>
      <c r="K1005" s="5"/>
      <c r="L1005" s="5"/>
      <c r="M1005" s="149"/>
      <c r="N1005" s="5"/>
      <c r="O1005" s="5"/>
      <c r="P1005" s="5"/>
    </row>
    <row r="1006">
      <c r="G1006" s="5"/>
      <c r="H1006" s="5"/>
      <c r="I1006" s="5"/>
      <c r="J1006" s="5"/>
      <c r="K1006" s="5"/>
      <c r="L1006" s="5"/>
      <c r="M1006" s="149"/>
      <c r="N1006" s="5"/>
      <c r="O1006" s="5"/>
      <c r="P1006" s="5"/>
    </row>
    <row r="1007">
      <c r="G1007" s="5"/>
      <c r="H1007" s="5"/>
      <c r="I1007" s="5"/>
      <c r="J1007" s="5"/>
      <c r="K1007" s="5"/>
      <c r="L1007" s="5"/>
      <c r="M1007" s="149"/>
      <c r="N1007" s="5"/>
      <c r="O1007" s="5"/>
      <c r="P1007" s="5"/>
    </row>
  </sheetData>
  <conditionalFormatting sqref="M1:M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5:M2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